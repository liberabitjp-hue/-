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 defaultThemeVersion="124226"/>
  <sheets>
    <sheet name="4月" sheetId="1" r:id="rId1"/>
    <sheet name="4月 (2)" sheetId="2" r:id="rId2"/>
    <sheet name="5月" sheetId="3" r:id="rId3"/>
    <sheet name="5月 (2)" sheetId="4" r:id="rId4"/>
    <sheet name="5月 (3)" sheetId="5" r:id="rId5"/>
    <sheet name="6月" sheetId="6" r:id="rId6"/>
    <sheet name="6月 (2)" sheetId="7" r:id="rId7"/>
    <sheet name="6月 (3)" sheetId="8" r:id="rId8"/>
    <sheet name="6月 (4)" sheetId="9" r:id="rId9"/>
    <sheet name="7月" sheetId="10" r:id="rId10"/>
    <sheet name="7月 (2)" sheetId="11" r:id="rId11"/>
    <sheet name="8月" sheetId="12" r:id="rId12"/>
    <sheet name="8月 (2)" sheetId="13" r:id="rId13"/>
    <sheet name="9月" sheetId="14" r:id="rId14"/>
    <sheet name="9月 (2)" sheetId="15" r:id="rId15"/>
    <sheet name="9月 (3)" sheetId="16" r:id="rId16"/>
    <sheet name="10月" sheetId="17" r:id="rId17"/>
    <sheet name="10月 (2)" sheetId="18" r:id="rId18"/>
    <sheet name="11月" sheetId="19" r:id="rId19"/>
    <sheet name="11月 (2)" sheetId="20" r:id="rId20"/>
    <sheet name="11月 (3)" sheetId="21" r:id="rId21"/>
    <sheet name="12月" sheetId="22" r:id="rId22"/>
    <sheet name="12月(2)" sheetId="23" r:id="rId23"/>
    <sheet name="12月(3)" sheetId="24" r:id="rId24"/>
    <sheet name="1月" sheetId="25" r:id="rId25"/>
    <sheet name="1月 (2)" sheetId="26" r:id="rId26"/>
    <sheet name="1月 (3)" sheetId="27" r:id="rId27"/>
    <sheet name="1月 (4)" sheetId="28" r:id="rId28"/>
    <sheet name="2月" sheetId="29" r:id="rId29"/>
    <sheet name="2月 (2)" sheetId="30" r:id="rId30"/>
    <sheet name="3月" sheetId="31" r:id="rId31"/>
    <sheet name="3月 (2)" sheetId="32" r:id="rId32"/>
  </sheets>
  <definedNames>
    <definedName name="_xlnm._FilterDatabase" localSheetId="9" hidden="1">'7月'!$A$6:$A$34</definedName>
    <definedName name="_xlnm._FilterDatabase" localSheetId="10" hidden="1">'7月 (2)'!$A$6:$A$34</definedName>
    <definedName name="_xlnm.Print_Area" localSheetId="16">'10月'!$A$1:$Q$39</definedName>
    <definedName name="_xlnm.Print_Area" localSheetId="17">'10月 (2)'!$A$1:$Q$39</definedName>
    <definedName name="_xlnm.Print_Area" localSheetId="18">'11月'!$A$2:$Q$42</definedName>
    <definedName name="_xlnm.Print_Area" localSheetId="19">'11月 (2)'!$A$2:$Q$42</definedName>
    <definedName name="_xlnm.Print_Area" localSheetId="20">'11月 (3)'!$A$2:$Q$42</definedName>
    <definedName name="_xlnm.Print_Area" localSheetId="21">'12月'!$A$2:$Q$40</definedName>
    <definedName name="_xlnm.Print_Area" localSheetId="22">'12月(2)'!$A$2:$Q$42</definedName>
    <definedName name="_xlnm.Print_Area" localSheetId="24">'1月'!$A$2:$Q$40</definedName>
    <definedName name="_xlnm.Print_Area" localSheetId="25">'1月 (2)'!$A$2:$Q$40</definedName>
    <definedName name="_xlnm.Print_Area" localSheetId="26">'1月 (3)'!$A$2:$Q$40</definedName>
    <definedName name="_xlnm.Print_Area" localSheetId="27">'1月 (4)'!$A$2:$Q$40</definedName>
    <definedName name="_xlnm.Print_Area" localSheetId="28">'2月'!$A$2:$Q$38</definedName>
    <definedName name="_xlnm.Print_Area" localSheetId="29">'2月 (2)'!$A$2:$Q$38</definedName>
    <definedName name="_xlnm.Print_Area" localSheetId="30">'3月'!$A$2:$Q$40</definedName>
    <definedName name="_xlnm.Print_Area" localSheetId="31">'3月 (2)'!$A$2:$Q$40</definedName>
    <definedName name="_xlnm.Print_Area" localSheetId="0">'4月'!$A$1:$Q$40</definedName>
    <definedName name="_xlnm.Print_Area" localSheetId="1">'4月 (2)'!$A$1:$Q$40</definedName>
    <definedName name="_xlnm.Print_Area" localSheetId="2">'5月'!$A$2:$Q$40</definedName>
    <definedName name="_xlnm.Print_Area" localSheetId="3">'5月 (2)'!$A$2:$Q$40</definedName>
    <definedName name="_xlnm.Print_Area" localSheetId="4">'5月 (3)'!$A$2:$Q$40</definedName>
    <definedName name="_xlnm.Print_Area" localSheetId="5">'6月'!$A$2:$Q$39</definedName>
    <definedName name="_xlnm.Print_Area" localSheetId="6">'6月 (2)'!$A$2:$Q$39</definedName>
    <definedName name="_xlnm.Print_Area" localSheetId="7">'6月 (3)'!$A$2:$Q$39</definedName>
    <definedName name="_xlnm.Print_Area" localSheetId="8">'6月 (4)'!$A$2:$Q$39</definedName>
    <definedName name="_xlnm.Print_Area" localSheetId="9">'7月'!$A$2:$Q$40</definedName>
    <definedName name="_xlnm.Print_Area" localSheetId="10">'7月 (2)'!$A$2:$Q$40</definedName>
    <definedName name="_xlnm.Print_Area" localSheetId="11">'8月'!$A$2:$Q$40</definedName>
    <definedName name="_xlnm.Print_Area" localSheetId="12">'8月 (2)'!$A$2:$Q$40</definedName>
    <definedName name="_xlnm.Print_Area" localSheetId="13">'9月'!$A$2:$Q$41</definedName>
    <definedName name="_xlnm.Print_Area" localSheetId="14">'9月 (2)'!$A$2:$Q$41</definedName>
    <definedName name="_xlnm.Print_Area" localSheetId="15">'9月 (3)'!$A$2:$Q$41</definedName>
  </definedName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4">
    <numFmt numFmtId="56" formatCode="&quot;上午/下午 &quot;hh&quot;時&quot;mm&quot;分&quot;ss&quot;秒 &quot;"/>
    <numFmt numFmtId="176" formatCode="h:mm;@"/>
    <numFmt numFmtId="177" formatCode="[$-F800]dddd\,\ mmmm\ dd\,\ yyyy"/>
    <numFmt numFmtId="178" formatCode="0_);[Red]\(0\)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theme" Target="theme/theme1.xml"/><Relationship Id="rId34" Type="http://schemas.openxmlformats.org/officeDocument/2006/relationships/styles" Target="styles.xml"/><Relationship Id="rId3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42"/>
  <sheetViews>
    <sheetView workbookViewId="0" rightToLeft="0"/>
  </sheetViews>
  <sheetData>
    <row r="2">
      <c r="A2" t="str">
        <v>令和８年度</v>
      </c>
      <c r="F2">
        <v>4</v>
      </c>
      <c r="G2" t="str">
        <v>月</v>
      </c>
      <c r="H2" t="str">
        <v>授業時数･下校予定時刻一覧表</v>
      </c>
      <c r="P2" t="str">
        <v>本宮市立本宮まゆみ小学校</v>
      </c>
    </row>
    <row r="3">
      <c r="A3" t="str">
        <v>日</v>
      </c>
      <c r="B3" t="str">
        <v>曜</v>
      </c>
      <c r="C3" t="str">
        <v>1学年</v>
      </c>
      <c r="E3" t="str">
        <v>２学年</v>
      </c>
      <c r="G3" t="str">
        <v>３学年</v>
      </c>
      <c r="I3" t="str">
        <v>４学年</v>
      </c>
      <c r="K3" t="str">
        <v>５学年</v>
      </c>
      <c r="M3" t="str">
        <v>６学年</v>
      </c>
      <c r="O3" t="str">
        <v>特別日程</v>
      </c>
      <c r="P3" t="str">
        <v>給食</v>
      </c>
      <c r="Q3" t="str">
        <v>行　　事　　等</v>
      </c>
    </row>
    <row r="4">
      <c r="A4">
        <v>1</v>
      </c>
      <c r="B4" t="str">
        <v>水</v>
      </c>
      <c r="Q4" t="str">
        <v>学年始休業日、職員会議</v>
      </c>
    </row>
    <row r="5">
      <c r="A5">
        <v>2</v>
      </c>
      <c r="B5" t="str">
        <v>木</v>
      </c>
      <c r="Q5" t="str">
        <v>職員会議、1年生教室準備13:30～、入学式会場作成(教室準備終了後)</v>
      </c>
    </row>
    <row r="6">
      <c r="A6">
        <v>3</v>
      </c>
      <c r="B6" t="str">
        <v>金</v>
      </c>
      <c r="Q6" t="str">
        <v>新学期準備、入学式リハーサル13:30～</v>
      </c>
    </row>
    <row r="7">
      <c r="A7">
        <v>4</v>
      </c>
      <c r="B7" t="str">
        <v>土</v>
      </c>
    </row>
    <row r="8">
      <c r="A8">
        <v>5</v>
      </c>
      <c r="B8" t="str">
        <v>日</v>
      </c>
    </row>
    <row r="9" xml:space="preserve">
      <c r="A9">
        <v>6</v>
      </c>
      <c r="B9" t="str">
        <v>月</v>
      </c>
      <c r="C9">
        <v>2</v>
      </c>
      <c r="D9">
        <v>0.4930555555555556</v>
      </c>
      <c r="E9">
        <v>1</v>
      </c>
      <c r="F9">
        <v>0.3854166666666667</v>
      </c>
      <c r="G9">
        <v>1</v>
      </c>
      <c r="H9">
        <v>0.3854166666666667</v>
      </c>
      <c r="I9">
        <v>1</v>
      </c>
      <c r="J9">
        <v>0.3854166666666667</v>
      </c>
      <c r="K9">
        <v>3</v>
      </c>
      <c r="L9">
        <v>0.4791666666666667</v>
      </c>
      <c r="M9">
        <v>3</v>
      </c>
      <c r="N9">
        <v>0.4791666666666667</v>
      </c>
      <c r="O9" t="str">
        <v>特別</v>
      </c>
      <c r="P9" t="str">
        <v>×</v>
      </c>
      <c r="Q9" t="str" xml:space="preserve">
        <v xml:space="preserve">【特】着任式・始業式(2～6年：行1)、入学式(1・5・6年：行2)_x000d_
安全点検</v>
      </c>
    </row>
    <row r="10">
      <c r="A10">
        <v>7</v>
      </c>
      <c r="B10" t="str">
        <v>火</v>
      </c>
      <c r="C10">
        <v>3</v>
      </c>
      <c r="D10">
        <v>0.4722222222222222</v>
      </c>
      <c r="E10">
        <v>4</v>
      </c>
      <c r="F10">
        <v>0.5694444444444444</v>
      </c>
      <c r="G10">
        <v>5</v>
      </c>
      <c r="H10">
        <v>0.6006944444444444</v>
      </c>
      <c r="I10">
        <v>5</v>
      </c>
      <c r="J10">
        <v>0.6006944444444444</v>
      </c>
      <c r="K10">
        <v>5</v>
      </c>
      <c r="L10">
        <v>0.6006944444444444</v>
      </c>
      <c r="M10">
        <v>5</v>
      </c>
      <c r="N10">
        <v>0.6006944444444444</v>
      </c>
      <c r="P10" t="str">
        <v>弁</v>
      </c>
      <c r="Q10" t="str">
        <v>弁当日、身体測定(まゆさく、低：行1)、校外子ども会1③(全：児1）、1年生弁当なし下校</v>
      </c>
    </row>
    <row r="11">
      <c r="A11">
        <v>8</v>
      </c>
      <c r="B11" t="str">
        <v>水</v>
      </c>
      <c r="C11">
        <v>3</v>
      </c>
      <c r="D11">
        <v>0.5416666666666666</v>
      </c>
      <c r="E11">
        <v>4</v>
      </c>
      <c r="F11">
        <v>0.5868055555555556</v>
      </c>
      <c r="G11">
        <v>5</v>
      </c>
      <c r="H11">
        <v>0.6180555555555556</v>
      </c>
      <c r="I11">
        <v>5</v>
      </c>
      <c r="J11">
        <v>0.6180555555555556</v>
      </c>
      <c r="K11">
        <v>6</v>
      </c>
      <c r="L11">
        <v>0.6527777777777778</v>
      </c>
      <c r="M11">
        <v>6</v>
      </c>
      <c r="N11">
        <v>0.6527777777777778</v>
      </c>
      <c r="P11" t="str">
        <v>○</v>
      </c>
      <c r="Q11" t="str">
        <v>身体測定(3～6年：行1)、なかよし班全体指導、1年生給食開始◇PTA本部役員会1</v>
      </c>
    </row>
    <row r="12">
      <c r="A12">
        <v>9</v>
      </c>
      <c r="B12" t="str">
        <v>木</v>
      </c>
      <c r="C12">
        <v>5</v>
      </c>
      <c r="D12">
        <v>0.5833333333333334</v>
      </c>
      <c r="E12">
        <v>5</v>
      </c>
      <c r="F12">
        <v>0.5833333333333334</v>
      </c>
      <c r="G12">
        <v>5</v>
      </c>
      <c r="H12">
        <v>0.5833333333333334</v>
      </c>
      <c r="I12">
        <v>5</v>
      </c>
      <c r="J12">
        <v>0.5833333333333334</v>
      </c>
      <c r="K12">
        <v>5</v>
      </c>
      <c r="L12">
        <v>0.5833333333333334</v>
      </c>
      <c r="M12">
        <v>5</v>
      </c>
      <c r="N12">
        <v>0.5833333333333334</v>
      </c>
      <c r="O12" t="str">
        <v>短縮</v>
      </c>
      <c r="P12" t="str">
        <v>○</v>
      </c>
      <c r="Q12" t="str">
        <v>【短】第1回交通教室⑤（全：行1）、生徒指導・現職教育委員会</v>
      </c>
    </row>
    <row r="13">
      <c r="A13">
        <v>10</v>
      </c>
      <c r="B13" t="str">
        <v>金</v>
      </c>
      <c r="C13">
        <v>3</v>
      </c>
      <c r="D13">
        <v>0.5416666666666666</v>
      </c>
      <c r="E13">
        <v>4</v>
      </c>
      <c r="F13">
        <v>0.5868055555555556</v>
      </c>
      <c r="G13">
        <v>5</v>
      </c>
      <c r="H13">
        <v>0.6180555555555556</v>
      </c>
      <c r="I13">
        <v>5</v>
      </c>
      <c r="J13">
        <v>0.6180555555555556</v>
      </c>
      <c r="K13">
        <v>5</v>
      </c>
      <c r="L13">
        <v>0.6180555555555556</v>
      </c>
      <c r="M13">
        <v>5</v>
      </c>
      <c r="N13">
        <v>0.6180555555555556</v>
      </c>
      <c r="P13" t="str">
        <v>○</v>
      </c>
      <c r="Q13" t="str">
        <v>視力検査②（全：行1）、通学路点検</v>
      </c>
    </row>
    <row r="14">
      <c r="A14">
        <v>11</v>
      </c>
      <c r="B14" t="str">
        <v>土</v>
      </c>
    </row>
    <row r="15">
      <c r="A15">
        <v>12</v>
      </c>
      <c r="B15" t="str">
        <v>日</v>
      </c>
    </row>
    <row r="16">
      <c r="A16">
        <v>13</v>
      </c>
      <c r="B16" t="str">
        <v>月</v>
      </c>
      <c r="C16">
        <v>4</v>
      </c>
      <c r="D16">
        <v>0.5416666666666666</v>
      </c>
      <c r="E16">
        <v>4</v>
      </c>
      <c r="F16">
        <v>0.5868055555555556</v>
      </c>
      <c r="G16">
        <v>5</v>
      </c>
      <c r="H16">
        <v>0.6180555555555556</v>
      </c>
      <c r="I16">
        <v>5</v>
      </c>
      <c r="J16">
        <v>0.6180555555555556</v>
      </c>
      <c r="K16">
        <v>5</v>
      </c>
      <c r="L16">
        <v>0.6180555555555556</v>
      </c>
      <c r="M16">
        <v>5</v>
      </c>
      <c r="N16">
        <v>0.6180555555555556</v>
      </c>
      <c r="P16" t="str">
        <v>○</v>
      </c>
      <c r="Q16" t="str">
        <v>通学路点検</v>
      </c>
    </row>
    <row r="17">
      <c r="A17">
        <v>14</v>
      </c>
      <c r="B17" t="str">
        <v>火</v>
      </c>
      <c r="C17">
        <v>4</v>
      </c>
      <c r="D17">
        <v>0.5416666666666666</v>
      </c>
      <c r="E17">
        <v>5</v>
      </c>
      <c r="F17">
        <v>0.6006944444444444</v>
      </c>
      <c r="G17">
        <v>5</v>
      </c>
      <c r="H17">
        <v>0.6006944444444444</v>
      </c>
      <c r="I17">
        <v>6</v>
      </c>
      <c r="J17">
        <v>0.6354166666666666</v>
      </c>
      <c r="K17">
        <v>6</v>
      </c>
      <c r="L17">
        <v>0.6354166666666666</v>
      </c>
      <c r="M17">
        <v>6</v>
      </c>
      <c r="N17">
        <v>0.6354166666666666</v>
      </c>
      <c r="P17" t="str">
        <v>○</v>
      </c>
      <c r="Q17" t="str">
        <v>児童会委員会（上：1）、聴力検査（１・２年）</v>
      </c>
    </row>
    <row r="18">
      <c r="A18">
        <v>15</v>
      </c>
      <c r="B18" t="str">
        <v>水</v>
      </c>
      <c r="C18">
        <v>4</v>
      </c>
      <c r="D18">
        <v>0.5416666666666666</v>
      </c>
      <c r="E18">
        <v>4</v>
      </c>
      <c r="F18">
        <v>0.5868055555555556</v>
      </c>
      <c r="G18">
        <v>5</v>
      </c>
      <c r="H18">
        <v>0.6180555555555556</v>
      </c>
      <c r="I18">
        <v>6</v>
      </c>
      <c r="J18">
        <v>0.6527777777777778</v>
      </c>
      <c r="K18">
        <v>6</v>
      </c>
      <c r="L18">
        <v>0.6527777777777778</v>
      </c>
      <c r="M18">
        <v>6</v>
      </c>
      <c r="N18">
        <v>0.6527777777777778</v>
      </c>
      <c r="P18" t="str">
        <v>○</v>
      </c>
      <c r="Q18" t="str">
        <v>聴力検査（３・５年）</v>
      </c>
    </row>
    <row r="19">
      <c r="A19">
        <v>16</v>
      </c>
      <c r="B19" t="str">
        <v>木</v>
      </c>
      <c r="C19">
        <v>4</v>
      </c>
      <c r="D19">
        <v>0.5416666666666666</v>
      </c>
      <c r="E19">
        <v>4</v>
      </c>
      <c r="F19">
        <v>0.5694444444444444</v>
      </c>
      <c r="G19">
        <v>5</v>
      </c>
      <c r="H19">
        <v>0.6006944444444444</v>
      </c>
      <c r="I19">
        <v>6</v>
      </c>
      <c r="J19">
        <v>0.6354166666666666</v>
      </c>
      <c r="K19">
        <v>6</v>
      </c>
      <c r="L19">
        <v>0.6354166666666666</v>
      </c>
      <c r="M19">
        <v>6</v>
      </c>
      <c r="N19">
        <v>0.6354166666666666</v>
      </c>
      <c r="P19" t="str">
        <v>○</v>
      </c>
      <c r="Q19" t="str">
        <v>児童会welcome集会③(全：児1)、クラブ活動(上：ク1)</v>
      </c>
    </row>
    <row r="20">
      <c r="A20">
        <v>17</v>
      </c>
      <c r="B20" t="str">
        <v>金</v>
      </c>
      <c r="C20">
        <v>4</v>
      </c>
      <c r="D20">
        <v>0.5416666666666666</v>
      </c>
      <c r="E20">
        <v>5</v>
      </c>
      <c r="F20">
        <v>0.6180555555555556</v>
      </c>
      <c r="G20">
        <v>5</v>
      </c>
      <c r="H20">
        <v>0.6180555555555556</v>
      </c>
      <c r="I20">
        <v>5</v>
      </c>
      <c r="J20">
        <v>0.6180555555555556</v>
      </c>
      <c r="K20">
        <v>5</v>
      </c>
      <c r="L20">
        <v>0.6180555555555556</v>
      </c>
      <c r="M20">
        <v>5</v>
      </c>
      <c r="N20">
        <v>0.6180555555555556</v>
      </c>
      <c r="P20" t="str">
        <v>○</v>
      </c>
      <c r="Q20" t="str">
        <v>第1回避難訓練③(全：行1)、通学路点検</v>
      </c>
    </row>
    <row r="21">
      <c r="A21">
        <v>18</v>
      </c>
      <c r="B21" t="str">
        <v>土</v>
      </c>
    </row>
    <row r="22">
      <c r="A22">
        <v>19</v>
      </c>
      <c r="B22" t="str">
        <v>日</v>
      </c>
    </row>
    <row r="23">
      <c r="A23">
        <v>20</v>
      </c>
      <c r="B23" t="str">
        <v>月</v>
      </c>
      <c r="C23">
        <v>4</v>
      </c>
      <c r="D23">
        <v>0.5416666666666666</v>
      </c>
      <c r="E23">
        <v>4</v>
      </c>
      <c r="F23">
        <v>0.5868055555555556</v>
      </c>
      <c r="G23">
        <v>5</v>
      </c>
      <c r="H23">
        <v>0.6180555555555556</v>
      </c>
      <c r="I23">
        <v>5</v>
      </c>
      <c r="J23">
        <v>0.6458333333333334</v>
      </c>
      <c r="K23">
        <v>5</v>
      </c>
      <c r="L23">
        <v>0.6458333333333334</v>
      </c>
      <c r="M23">
        <v>5</v>
      </c>
      <c r="N23">
        <v>0.6458333333333334</v>
      </c>
      <c r="P23" t="str">
        <v>○</v>
      </c>
      <c r="Q23" t="str">
        <v>児童会活動日</v>
      </c>
    </row>
    <row r="24">
      <c r="A24">
        <v>21</v>
      </c>
      <c r="B24" t="str">
        <v>火</v>
      </c>
      <c r="C24">
        <v>4</v>
      </c>
      <c r="D24">
        <v>0.5416666666666666</v>
      </c>
      <c r="E24">
        <v>4</v>
      </c>
      <c r="F24">
        <v>0.5416666666666666</v>
      </c>
      <c r="G24">
        <v>4</v>
      </c>
      <c r="H24">
        <v>0.5416666666666666</v>
      </c>
      <c r="I24">
        <v>4</v>
      </c>
      <c r="J24">
        <v>0.5416666666666666</v>
      </c>
      <c r="K24">
        <v>4</v>
      </c>
      <c r="L24">
        <v>0.5416666666666666</v>
      </c>
      <c r="M24">
        <v>4</v>
      </c>
      <c r="N24">
        <v>0.5416666666666666</v>
      </c>
      <c r="O24" t="str">
        <v>短縮</v>
      </c>
      <c r="P24" t="str">
        <v>○</v>
      </c>
      <c r="Q24" t="str">
        <v>【短】小教研</v>
      </c>
    </row>
    <row r="25">
      <c r="A25">
        <v>22</v>
      </c>
      <c r="B25" t="str">
        <v>水</v>
      </c>
      <c r="C25">
        <v>4</v>
      </c>
      <c r="D25">
        <v>0.5416666666666666</v>
      </c>
      <c r="E25">
        <v>4</v>
      </c>
      <c r="F25">
        <v>0.5416666666666666</v>
      </c>
      <c r="G25">
        <v>5</v>
      </c>
      <c r="H25">
        <v>0.5833333333333334</v>
      </c>
      <c r="I25">
        <v>5</v>
      </c>
      <c r="J25">
        <v>0.5833333333333334</v>
      </c>
      <c r="K25">
        <v>5</v>
      </c>
      <c r="L25">
        <v>0.5833333333333334</v>
      </c>
      <c r="M25">
        <v>5</v>
      </c>
      <c r="N25">
        <v>0.5833333333333334</v>
      </c>
      <c r="O25" t="str">
        <v>短縮</v>
      </c>
      <c r="P25" t="str">
        <v>○</v>
      </c>
      <c r="Q25" t="str">
        <v>【短】職員会議</v>
      </c>
    </row>
    <row r="26" xml:space="preserve">
      <c r="A26">
        <v>23</v>
      </c>
      <c r="B26" t="str">
        <v>木</v>
      </c>
      <c r="C26">
        <v>4</v>
      </c>
      <c r="D26">
        <v>0.5416666666666666</v>
      </c>
      <c r="E26">
        <v>4</v>
      </c>
      <c r="F26">
        <v>0.5694444444444444</v>
      </c>
      <c r="G26">
        <v>5</v>
      </c>
      <c r="H26">
        <v>0.6006944444444444</v>
      </c>
      <c r="I26">
        <v>5</v>
      </c>
      <c r="J26">
        <v>0.6006944444444444</v>
      </c>
      <c r="K26">
        <v>5</v>
      </c>
      <c r="L26">
        <v>0.6006944444444444</v>
      </c>
      <c r="M26">
        <v>5</v>
      </c>
      <c r="N26">
        <v>0.6006944444444444</v>
      </c>
      <c r="P26" t="str">
        <v>○</v>
      </c>
      <c r="Q26" t="str" xml:space="preserve">
        <v xml:space="preserve">全国学力・学習状況調査(6年：国1、算1)_x000d_
※5月時間割提出</v>
      </c>
    </row>
    <row r="27" xml:space="preserve">
      <c r="A27">
        <v>24</v>
      </c>
      <c r="B27" t="str">
        <v>金</v>
      </c>
      <c r="C27">
        <v>5</v>
      </c>
      <c r="D27">
        <v>0.5833333333333334</v>
      </c>
      <c r="E27">
        <v>5</v>
      </c>
      <c r="F27">
        <v>0.5833333333333334</v>
      </c>
      <c r="G27">
        <v>5</v>
      </c>
      <c r="H27">
        <v>0.5833333333333334</v>
      </c>
      <c r="I27">
        <v>5</v>
      </c>
      <c r="J27">
        <v>0.5833333333333334</v>
      </c>
      <c r="K27">
        <v>5</v>
      </c>
      <c r="L27">
        <v>0.5833333333333334</v>
      </c>
      <c r="M27">
        <v>5</v>
      </c>
      <c r="N27">
        <v>0.5833333333333334</v>
      </c>
      <c r="O27" t="str">
        <v>短縮</v>
      </c>
      <c r="P27" t="str">
        <v>○</v>
      </c>
      <c r="Q27" t="str" xml:space="preserve">
        <v xml:space="preserve">【短】授業参観、学年学級懇談会_x000d_
◇PTA専門・実行委員会</v>
      </c>
    </row>
    <row r="28">
      <c r="A28">
        <v>25</v>
      </c>
      <c r="B28" t="str">
        <v>土</v>
      </c>
      <c r="Q28" t="str">
        <v>PTA奉仕作業1、資源回収</v>
      </c>
    </row>
    <row r="29">
      <c r="A29">
        <v>26</v>
      </c>
      <c r="B29" t="str">
        <v>日</v>
      </c>
    </row>
    <row r="30" xml:space="preserve">
      <c r="A30">
        <v>27</v>
      </c>
      <c r="B30" t="str">
        <v>月</v>
      </c>
      <c r="C30">
        <v>4</v>
      </c>
      <c r="D30">
        <v>0.5416666666666666</v>
      </c>
      <c r="E30">
        <v>4</v>
      </c>
      <c r="F30">
        <v>0.5868055555555556</v>
      </c>
      <c r="G30">
        <v>5</v>
      </c>
      <c r="H30">
        <v>0.6180555555555556</v>
      </c>
      <c r="I30">
        <v>5</v>
      </c>
      <c r="J30">
        <v>0.6180555555555556</v>
      </c>
      <c r="K30">
        <v>5</v>
      </c>
      <c r="L30">
        <v>0.6180555555555556</v>
      </c>
      <c r="M30">
        <v>6</v>
      </c>
      <c r="N30">
        <v>0.6527777777777778</v>
      </c>
      <c r="P30" t="str">
        <v>○</v>
      </c>
      <c r="Q30" t="str" xml:space="preserve">
        <v xml:space="preserve">全国学力・学習状況調査質問紙②(6年：学1)、_x000d_
運動会全体練習③(全：行1)</v>
      </c>
    </row>
    <row r="31">
      <c r="A31">
        <v>28</v>
      </c>
      <c r="B31" t="str">
        <v>火</v>
      </c>
      <c r="C31">
        <v>4</v>
      </c>
      <c r="D31">
        <v>0.5416666666666666</v>
      </c>
      <c r="E31">
        <v>5</v>
      </c>
      <c r="F31">
        <v>0.6006944444444444</v>
      </c>
      <c r="G31">
        <v>5</v>
      </c>
      <c r="H31">
        <v>0.6006944444444444</v>
      </c>
      <c r="I31">
        <v>6</v>
      </c>
      <c r="J31">
        <v>0.6354166666666666</v>
      </c>
      <c r="K31">
        <v>6</v>
      </c>
      <c r="L31">
        <v>0.6354166666666666</v>
      </c>
      <c r="M31">
        <v>6</v>
      </c>
      <c r="N31">
        <v>0.6354166666666666</v>
      </c>
      <c r="P31" t="str">
        <v>○</v>
      </c>
      <c r="Q31" t="str">
        <v>【２校時まで短縮】なかよし班交流タイム(業間)、耳鼻科検診13:30～</v>
      </c>
    </row>
    <row r="32">
      <c r="A32">
        <v>29</v>
      </c>
      <c r="B32" t="str">
        <v>水</v>
      </c>
      <c r="Q32" t="str">
        <v xml:space="preserve">                         昭和の日</v>
      </c>
    </row>
    <row r="33" xml:space="preserve">
      <c r="A33">
        <v>30</v>
      </c>
      <c r="B33" t="str">
        <v>木</v>
      </c>
      <c r="C33">
        <v>4</v>
      </c>
      <c r="D33">
        <v>0.5416666666666666</v>
      </c>
      <c r="E33">
        <v>5</v>
      </c>
      <c r="F33">
        <v>0.6006944444444444</v>
      </c>
      <c r="G33">
        <v>5</v>
      </c>
      <c r="H33">
        <v>0.6006944444444444</v>
      </c>
      <c r="I33">
        <v>5</v>
      </c>
      <c r="J33">
        <v>0.6006944444444444</v>
      </c>
      <c r="K33">
        <v>5</v>
      </c>
      <c r="L33">
        <v>0.6006944444444444</v>
      </c>
      <c r="M33">
        <v>5</v>
      </c>
      <c r="N33">
        <v>0.6006944444444444</v>
      </c>
      <c r="P33" t="str">
        <v>○</v>
      </c>
      <c r="Q33" t="str" xml:space="preserve">
        <v xml:space="preserve">運動会種目説明会14:45～15:30_x000d_
※月末統計</v>
      </c>
    </row>
    <row r="35" xml:space="preserve">
      <c r="A35" t="str">
        <v>留意点</v>
      </c>
      <c r="B35" t="str" xml:space="preserve">
        <v xml:space="preserve">○4/20(月)は、児童会活動日のため、4～6年生の下校時刻が、15:30となります。_x000d_
　来月以降も「児童会活動日」の下校時刻は、15:30となります。</v>
      </c>
    </row>
    <row r="36">
      <c r="B36">
        <f>F2</f>
        <v>4</v>
      </c>
      <c r="C36" t="str">
        <v>月</v>
      </c>
      <c r="D36" t="str">
        <v>実施時数予定</v>
      </c>
    </row>
    <row r="37">
      <c r="C37" t="str">
        <v>１年</v>
      </c>
      <c r="E37" t="str">
        <v>２年</v>
      </c>
      <c r="G37" t="str">
        <v>３年</v>
      </c>
      <c r="I37" t="str">
        <v>４年</v>
      </c>
      <c r="K37" t="str">
        <v>５年</v>
      </c>
      <c r="M37" t="str">
        <v>６年</v>
      </c>
      <c r="O37" t="str">
        <v>食数</v>
      </c>
    </row>
    <row r="38">
      <c r="A38" t="str">
        <v>実施できる時数</v>
      </c>
      <c r="C38">
        <f>SUM(C4:C33)</f>
        <v>69</v>
      </c>
      <c r="E38">
        <f>SUM(E4:E33)</f>
        <v>75</v>
      </c>
      <c r="G38">
        <f>SUM(G4:G33)</f>
        <v>85</v>
      </c>
      <c r="I38">
        <f>SUM(I4:I33)</f>
        <v>89</v>
      </c>
      <c r="K38">
        <f>SUM(K4:K33)</f>
        <v>92</v>
      </c>
      <c r="M38">
        <f>SUM(M4:M33)</f>
        <v>93</v>
      </c>
      <c r="O38">
        <f>COUNTIF(P4:P34,"○")</f>
        <v>16</v>
      </c>
    </row>
    <row r="39">
      <c r="A39" t="str">
        <v>計画された時数</v>
      </c>
      <c r="C39">
        <v>69</v>
      </c>
      <c r="E39">
        <v>75</v>
      </c>
      <c r="G39">
        <v>85</v>
      </c>
      <c r="I39">
        <v>89</v>
      </c>
      <c r="K39">
        <v>92</v>
      </c>
      <c r="M39">
        <v>93</v>
      </c>
    </row>
    <row r="40">
      <c r="A40" t="str">
        <v>4月余剰時数</v>
      </c>
      <c r="C40">
        <f>C38-C39</f>
        <v>0</v>
      </c>
      <c r="E40">
        <f>E38-E39</f>
        <v>0</v>
      </c>
      <c r="G40">
        <f>G38-G39</f>
        <v>0</v>
      </c>
      <c r="I40">
        <f>I38-I39</f>
        <v>0</v>
      </c>
      <c r="K40">
        <f>K38-K39</f>
        <v>0</v>
      </c>
      <c r="M40">
        <f>M38-M39</f>
        <v>0</v>
      </c>
    </row>
    <row r="41">
      <c r="Q41">
        <v>3</v>
      </c>
    </row>
  </sheetData>
  <mergeCells count="41">
    <mergeCell ref="A39:B39"/>
    <mergeCell ref="C39:D39"/>
    <mergeCell ref="E39:F39"/>
    <mergeCell ref="G39:H39"/>
    <mergeCell ref="M40:N40"/>
    <mergeCell ref="K39:L39"/>
    <mergeCell ref="M39:N39"/>
    <mergeCell ref="A40:B40"/>
    <mergeCell ref="C40:D40"/>
    <mergeCell ref="E40:F40"/>
    <mergeCell ref="G40:H40"/>
    <mergeCell ref="I40:J40"/>
    <mergeCell ref="K40:L40"/>
    <mergeCell ref="I39:J39"/>
    <mergeCell ref="A1:D1"/>
    <mergeCell ref="E38:F38"/>
    <mergeCell ref="G38:H38"/>
    <mergeCell ref="B35:Q35"/>
    <mergeCell ref="D36:G36"/>
    <mergeCell ref="C37:D37"/>
    <mergeCell ref="E37:F37"/>
    <mergeCell ref="G37:H37"/>
    <mergeCell ref="I37:J37"/>
    <mergeCell ref="P1:Q1"/>
    <mergeCell ref="H2:O2"/>
    <mergeCell ref="C3:D3"/>
    <mergeCell ref="A2:D2"/>
    <mergeCell ref="E3:F3"/>
    <mergeCell ref="G3:H3"/>
    <mergeCell ref="I3:J3"/>
    <mergeCell ref="P2:Q2"/>
    <mergeCell ref="A38:B38"/>
    <mergeCell ref="I38:J38"/>
    <mergeCell ref="A37:B37"/>
    <mergeCell ref="C38:D38"/>
    <mergeCell ref="K3:L3"/>
    <mergeCell ref="K38:L38"/>
    <mergeCell ref="M38:N38"/>
    <mergeCell ref="M3:N3"/>
    <mergeCell ref="K37:L37"/>
    <mergeCell ref="M37:N37"/>
  </mergeCells>
  <pageMargins left="0.7086614173228347" right="0.4724409448818898" top="0.3937007874015748" bottom="0.4330708661417323" header="0.31496062992125984" footer="0.31496062992125984"/>
  <ignoredErrors>
    <ignoredError numberStoredAsText="1" sqref="A1:Q4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Q42"/>
  <sheetViews>
    <sheetView workbookViewId="0" rightToLeft="0"/>
  </sheetViews>
  <sheetData>
    <row r="2">
      <c r="A2" t="str">
        <v>令和８年度</v>
      </c>
      <c r="F2">
        <v>4</v>
      </c>
      <c r="G2" t="str">
        <v>月</v>
      </c>
      <c r="H2" t="str">
        <v>授業時数･下校予定時刻一覧表(4/2版)</v>
      </c>
      <c r="P2" t="str">
        <v>本宮市立本宮まゆみ小学校</v>
      </c>
    </row>
    <row r="3">
      <c r="A3" t="str">
        <v>日</v>
      </c>
      <c r="B3" t="str">
        <v>曜</v>
      </c>
      <c r="C3" t="str">
        <v>1学年</v>
      </c>
      <c r="E3" t="str">
        <v>２学年</v>
      </c>
      <c r="G3" t="str">
        <v>３学年</v>
      </c>
      <c r="I3" t="str">
        <v>４学年</v>
      </c>
      <c r="K3" t="str">
        <v>５学年</v>
      </c>
      <c r="M3" t="str">
        <v>６学年</v>
      </c>
      <c r="O3" t="str">
        <v>特別日程</v>
      </c>
      <c r="P3" t="str">
        <v>給食</v>
      </c>
      <c r="Q3" t="str">
        <v>行　　事　　等</v>
      </c>
    </row>
    <row r="4">
      <c r="A4">
        <v>1</v>
      </c>
      <c r="B4" t="str">
        <v>水</v>
      </c>
      <c r="Q4" t="str">
        <v>学年始休業日、職員会議</v>
      </c>
    </row>
    <row r="5">
      <c r="A5">
        <v>2</v>
      </c>
      <c r="B5" t="str">
        <v>木</v>
      </c>
      <c r="Q5" t="str">
        <v>職員会議、1年生教室準備13:30～、入学式会場作成(教室準備終了後)</v>
      </c>
    </row>
    <row r="6">
      <c r="A6">
        <v>3</v>
      </c>
      <c r="B6" t="str">
        <v>金</v>
      </c>
      <c r="Q6" t="str">
        <v>新学期準備、入学式リハーサル13:30～</v>
      </c>
    </row>
    <row r="7">
      <c r="A7">
        <v>4</v>
      </c>
      <c r="B7" t="str">
        <v>土</v>
      </c>
    </row>
    <row r="8">
      <c r="A8">
        <v>5</v>
      </c>
      <c r="B8" t="str">
        <v>日</v>
      </c>
    </row>
    <row r="9" xml:space="preserve">
      <c r="A9">
        <v>6</v>
      </c>
      <c r="B9" t="str">
        <v>月</v>
      </c>
      <c r="C9">
        <v>2</v>
      </c>
      <c r="D9">
        <v>0.4930555555555556</v>
      </c>
      <c r="E9">
        <v>1</v>
      </c>
      <c r="F9">
        <v>0.3854166666666667</v>
      </c>
      <c r="G9">
        <v>1</v>
      </c>
      <c r="H9">
        <v>0.3854166666666667</v>
      </c>
      <c r="I9">
        <v>1</v>
      </c>
      <c r="J9">
        <v>0.3854166666666667</v>
      </c>
      <c r="K9">
        <v>3</v>
      </c>
      <c r="L9">
        <v>0.4791666666666667</v>
      </c>
      <c r="M9">
        <v>3</v>
      </c>
      <c r="N9">
        <v>0.4791666666666667</v>
      </c>
      <c r="O9" t="str">
        <v>特別</v>
      </c>
      <c r="P9" t="str">
        <v>×</v>
      </c>
      <c r="Q9" t="str" xml:space="preserve">
        <v xml:space="preserve">【特】着任式・始業式(2～6年：行1)、入学式(1・5・6年：行2)_x000d_
安全点検</v>
      </c>
    </row>
    <row r="10">
      <c r="A10">
        <v>7</v>
      </c>
      <c r="B10" t="str">
        <v>火</v>
      </c>
      <c r="C10">
        <v>3</v>
      </c>
      <c r="D10">
        <v>0.4722222222222222</v>
      </c>
      <c r="E10">
        <v>4</v>
      </c>
      <c r="F10">
        <v>0.5694444444444444</v>
      </c>
      <c r="G10">
        <v>5</v>
      </c>
      <c r="H10">
        <v>0.6006944444444444</v>
      </c>
      <c r="I10">
        <v>5</v>
      </c>
      <c r="J10">
        <v>0.6006944444444444</v>
      </c>
      <c r="K10">
        <v>5</v>
      </c>
      <c r="L10">
        <v>0.6006944444444444</v>
      </c>
      <c r="M10">
        <v>5</v>
      </c>
      <c r="N10">
        <v>0.6006944444444444</v>
      </c>
      <c r="P10" t="str">
        <v>弁</v>
      </c>
      <c r="Q10" t="str">
        <v>弁当日、身体測定(まゆさく、低：行1)、校外子ども会1③(全：児1）、1年生弁当なし下校</v>
      </c>
    </row>
    <row r="11">
      <c r="A11">
        <v>8</v>
      </c>
      <c r="B11" t="str">
        <v>水</v>
      </c>
      <c r="C11">
        <v>3</v>
      </c>
      <c r="D11">
        <v>0.5416666666666666</v>
      </c>
      <c r="E11">
        <v>4</v>
      </c>
      <c r="F11">
        <v>0.5868055555555556</v>
      </c>
      <c r="G11">
        <v>5</v>
      </c>
      <c r="H11">
        <v>0.6180555555555556</v>
      </c>
      <c r="I11">
        <v>5</v>
      </c>
      <c r="J11">
        <v>0.6180555555555556</v>
      </c>
      <c r="K11">
        <v>6</v>
      </c>
      <c r="L11">
        <v>0.6527777777777778</v>
      </c>
      <c r="M11">
        <v>6</v>
      </c>
      <c r="N11">
        <v>0.6527777777777778</v>
      </c>
      <c r="P11" t="str">
        <v>○</v>
      </c>
      <c r="Q11" t="str">
        <v>身体測定(3～6年：行1)、なかよし班全体指導、1年生給食開始◇PTA本部役員会1</v>
      </c>
    </row>
    <row r="12">
      <c r="A12">
        <v>9</v>
      </c>
      <c r="B12" t="str">
        <v>木</v>
      </c>
      <c r="C12">
        <v>5</v>
      </c>
      <c r="D12">
        <v>0.5833333333333334</v>
      </c>
      <c r="E12">
        <v>5</v>
      </c>
      <c r="F12">
        <v>0.5833333333333334</v>
      </c>
      <c r="G12">
        <v>5</v>
      </c>
      <c r="H12">
        <v>0.5833333333333334</v>
      </c>
      <c r="I12">
        <v>5</v>
      </c>
      <c r="J12">
        <v>0.5833333333333334</v>
      </c>
      <c r="K12">
        <v>5</v>
      </c>
      <c r="L12">
        <v>0.5833333333333334</v>
      </c>
      <c r="M12">
        <v>5</v>
      </c>
      <c r="N12">
        <v>0.5833333333333334</v>
      </c>
      <c r="O12" t="str">
        <v>短縮</v>
      </c>
      <c r="P12" t="str">
        <v>○</v>
      </c>
      <c r="Q12" t="str">
        <v>【短】第1回交通教室⑤（全：行1）、生徒指導・現職教育委員会</v>
      </c>
    </row>
    <row r="13">
      <c r="A13">
        <v>10</v>
      </c>
      <c r="B13" t="str">
        <v>金</v>
      </c>
      <c r="C13">
        <v>3</v>
      </c>
      <c r="D13">
        <v>0.5416666666666666</v>
      </c>
      <c r="E13">
        <v>4</v>
      </c>
      <c r="F13">
        <v>0.5868055555555556</v>
      </c>
      <c r="G13">
        <v>5</v>
      </c>
      <c r="H13">
        <v>0.6180555555555556</v>
      </c>
      <c r="I13">
        <v>5</v>
      </c>
      <c r="J13">
        <v>0.6180555555555556</v>
      </c>
      <c r="K13">
        <v>5</v>
      </c>
      <c r="L13">
        <v>0.6180555555555556</v>
      </c>
      <c r="M13">
        <v>5</v>
      </c>
      <c r="N13">
        <v>0.6180555555555556</v>
      </c>
      <c r="P13" t="str">
        <v>○</v>
      </c>
      <c r="Q13" t="str">
        <v>視力検査②（全：行1）、通学路点検</v>
      </c>
    </row>
    <row r="14">
      <c r="A14">
        <v>11</v>
      </c>
      <c r="B14" t="str">
        <v>土</v>
      </c>
    </row>
    <row r="15">
      <c r="A15">
        <v>12</v>
      </c>
      <c r="B15" t="str">
        <v>日</v>
      </c>
    </row>
    <row r="16">
      <c r="A16">
        <v>13</v>
      </c>
      <c r="B16" t="str">
        <v>月</v>
      </c>
      <c r="C16">
        <v>4</v>
      </c>
      <c r="D16">
        <v>0.5416666666666666</v>
      </c>
      <c r="E16">
        <v>4</v>
      </c>
      <c r="F16">
        <v>0.5868055555555556</v>
      </c>
      <c r="G16">
        <v>5</v>
      </c>
      <c r="H16">
        <v>0.6180555555555556</v>
      </c>
      <c r="I16">
        <v>5</v>
      </c>
      <c r="J16">
        <v>0.6180555555555556</v>
      </c>
      <c r="K16">
        <v>5</v>
      </c>
      <c r="L16">
        <v>0.6180555555555556</v>
      </c>
      <c r="M16">
        <v>5</v>
      </c>
      <c r="N16">
        <v>0.6180555555555556</v>
      </c>
      <c r="P16" t="str">
        <v>○</v>
      </c>
      <c r="Q16" t="str">
        <v>通学路点検</v>
      </c>
    </row>
    <row r="17">
      <c r="A17">
        <v>14</v>
      </c>
      <c r="B17" t="str">
        <v>火</v>
      </c>
      <c r="C17">
        <v>4</v>
      </c>
      <c r="D17">
        <v>0.5416666666666666</v>
      </c>
      <c r="E17">
        <v>5</v>
      </c>
      <c r="F17">
        <v>0.6006944444444444</v>
      </c>
      <c r="G17">
        <v>5</v>
      </c>
      <c r="H17">
        <v>0.6006944444444444</v>
      </c>
      <c r="I17">
        <v>6</v>
      </c>
      <c r="J17">
        <v>0.6354166666666666</v>
      </c>
      <c r="K17">
        <v>6</v>
      </c>
      <c r="L17">
        <v>0.6354166666666666</v>
      </c>
      <c r="M17">
        <v>6</v>
      </c>
      <c r="N17">
        <v>0.6354166666666666</v>
      </c>
      <c r="P17" t="str">
        <v>○</v>
      </c>
      <c r="Q17" t="str">
        <v>児童会委員会（上：1）、聴力検査（１・２年）</v>
      </c>
    </row>
    <row r="18">
      <c r="A18">
        <v>15</v>
      </c>
      <c r="B18" t="str">
        <v>水</v>
      </c>
      <c r="C18">
        <v>4</v>
      </c>
      <c r="D18">
        <v>0.5416666666666666</v>
      </c>
      <c r="E18">
        <v>4</v>
      </c>
      <c r="F18">
        <v>0.5868055555555556</v>
      </c>
      <c r="G18">
        <v>5</v>
      </c>
      <c r="H18">
        <v>0.6180555555555556</v>
      </c>
      <c r="I18">
        <v>6</v>
      </c>
      <c r="J18">
        <v>0.6527777777777778</v>
      </c>
      <c r="K18">
        <v>6</v>
      </c>
      <c r="L18">
        <v>0.6527777777777778</v>
      </c>
      <c r="M18">
        <v>6</v>
      </c>
      <c r="N18">
        <v>0.6527777777777778</v>
      </c>
      <c r="P18" t="str">
        <v>○</v>
      </c>
      <c r="Q18" t="str">
        <v>聴力検査（３・５年）</v>
      </c>
    </row>
    <row r="19">
      <c r="A19">
        <v>16</v>
      </c>
      <c r="B19" t="str">
        <v>木</v>
      </c>
      <c r="C19">
        <v>4</v>
      </c>
      <c r="D19">
        <v>0.5416666666666666</v>
      </c>
      <c r="E19">
        <v>4</v>
      </c>
      <c r="F19">
        <v>0.5694444444444444</v>
      </c>
      <c r="G19">
        <v>5</v>
      </c>
      <c r="H19">
        <v>0.6006944444444444</v>
      </c>
      <c r="I19">
        <v>6</v>
      </c>
      <c r="J19">
        <v>0.6354166666666666</v>
      </c>
      <c r="K19">
        <v>6</v>
      </c>
      <c r="L19">
        <v>0.6354166666666666</v>
      </c>
      <c r="M19">
        <v>6</v>
      </c>
      <c r="N19">
        <v>0.6354166666666666</v>
      </c>
      <c r="P19" t="str">
        <v>○</v>
      </c>
      <c r="Q19" t="str">
        <v>児童会welcome集会③(全：児1)、クラブ活動(上：ク1)</v>
      </c>
    </row>
    <row r="20">
      <c r="A20">
        <v>17</v>
      </c>
      <c r="B20" t="str">
        <v>金</v>
      </c>
      <c r="C20">
        <v>4</v>
      </c>
      <c r="D20">
        <v>0.5416666666666666</v>
      </c>
      <c r="E20">
        <v>5</v>
      </c>
      <c r="F20">
        <v>0.6180555555555556</v>
      </c>
      <c r="G20">
        <v>5</v>
      </c>
      <c r="H20">
        <v>0.6180555555555556</v>
      </c>
      <c r="I20">
        <v>5</v>
      </c>
      <c r="J20">
        <v>0.6180555555555556</v>
      </c>
      <c r="K20">
        <v>5</v>
      </c>
      <c r="L20">
        <v>0.6180555555555556</v>
      </c>
      <c r="M20">
        <v>5</v>
      </c>
      <c r="N20">
        <v>0.6180555555555556</v>
      </c>
      <c r="P20" t="str">
        <v>○</v>
      </c>
      <c r="Q20" t="str">
        <v>第1回避難訓練③(全：行1)、通学路点検</v>
      </c>
    </row>
    <row r="21">
      <c r="A21">
        <v>18</v>
      </c>
      <c r="B21" t="str">
        <v>土</v>
      </c>
    </row>
    <row r="22">
      <c r="A22">
        <v>19</v>
      </c>
      <c r="B22" t="str">
        <v>日</v>
      </c>
    </row>
    <row r="23">
      <c r="A23">
        <v>20</v>
      </c>
      <c r="B23" t="str">
        <v>月</v>
      </c>
      <c r="C23">
        <v>4</v>
      </c>
      <c r="D23">
        <v>0.5416666666666666</v>
      </c>
      <c r="E23">
        <v>4</v>
      </c>
      <c r="F23">
        <v>0.5868055555555556</v>
      </c>
      <c r="G23">
        <v>5</v>
      </c>
      <c r="H23">
        <v>0.6180555555555556</v>
      </c>
      <c r="I23">
        <v>5</v>
      </c>
      <c r="J23">
        <v>0.6458333333333334</v>
      </c>
      <c r="K23">
        <v>5</v>
      </c>
      <c r="L23">
        <v>0.6458333333333334</v>
      </c>
      <c r="M23">
        <v>5</v>
      </c>
      <c r="N23">
        <v>0.6458333333333334</v>
      </c>
      <c r="P23" t="str">
        <v>○</v>
      </c>
      <c r="Q23" t="str">
        <v>児童会活動日</v>
      </c>
    </row>
    <row r="24">
      <c r="A24">
        <v>21</v>
      </c>
      <c r="B24" t="str">
        <v>火</v>
      </c>
      <c r="C24">
        <v>4</v>
      </c>
      <c r="D24">
        <v>0.5416666666666666</v>
      </c>
      <c r="E24">
        <v>4</v>
      </c>
      <c r="F24">
        <v>0.5416666666666666</v>
      </c>
      <c r="G24">
        <v>4</v>
      </c>
      <c r="H24">
        <v>0.5416666666666666</v>
      </c>
      <c r="I24">
        <v>4</v>
      </c>
      <c r="J24">
        <v>0.5416666666666666</v>
      </c>
      <c r="K24">
        <v>4</v>
      </c>
      <c r="L24">
        <v>0.5416666666666666</v>
      </c>
      <c r="M24">
        <v>4</v>
      </c>
      <c r="N24">
        <v>0.5416666666666666</v>
      </c>
      <c r="O24" t="str">
        <v>短縮</v>
      </c>
      <c r="P24" t="str">
        <v>○</v>
      </c>
      <c r="Q24" t="str">
        <v>【短】小教研</v>
      </c>
    </row>
    <row r="25">
      <c r="A25">
        <v>22</v>
      </c>
      <c r="B25" t="str">
        <v>水</v>
      </c>
      <c r="C25">
        <v>4</v>
      </c>
      <c r="D25">
        <v>0.5416666666666666</v>
      </c>
      <c r="E25">
        <v>4</v>
      </c>
      <c r="F25">
        <v>0.5416666666666666</v>
      </c>
      <c r="G25">
        <v>5</v>
      </c>
      <c r="H25">
        <v>0.5833333333333334</v>
      </c>
      <c r="I25">
        <v>5</v>
      </c>
      <c r="J25">
        <v>0.5833333333333334</v>
      </c>
      <c r="K25">
        <v>5</v>
      </c>
      <c r="L25">
        <v>0.5833333333333334</v>
      </c>
      <c r="M25">
        <v>5</v>
      </c>
      <c r="N25">
        <v>0.5833333333333334</v>
      </c>
      <c r="O25" t="str">
        <v>短縮</v>
      </c>
      <c r="P25" t="str">
        <v>○</v>
      </c>
      <c r="Q25" t="str">
        <v>【短】職員会議</v>
      </c>
    </row>
    <row r="26" xml:space="preserve">
      <c r="A26">
        <v>23</v>
      </c>
      <c r="B26" t="str">
        <v>木</v>
      </c>
      <c r="C26">
        <v>4</v>
      </c>
      <c r="D26">
        <v>0.5416666666666666</v>
      </c>
      <c r="E26">
        <v>4</v>
      </c>
      <c r="F26">
        <v>0.5694444444444444</v>
      </c>
      <c r="G26">
        <v>5</v>
      </c>
      <c r="H26">
        <v>0.6006944444444444</v>
      </c>
      <c r="I26">
        <v>5</v>
      </c>
      <c r="J26">
        <v>0.6006944444444444</v>
      </c>
      <c r="K26">
        <v>5</v>
      </c>
      <c r="L26">
        <v>0.6006944444444444</v>
      </c>
      <c r="M26">
        <v>5</v>
      </c>
      <c r="N26">
        <v>0.6006944444444444</v>
      </c>
      <c r="P26" t="str">
        <v>○</v>
      </c>
      <c r="Q26" t="str" xml:space="preserve">
        <v xml:space="preserve">全国学力・学習状況調査(6年：国1、算1)_x000d_
※5月時間割提出</v>
      </c>
    </row>
    <row r="27" xml:space="preserve">
      <c r="A27">
        <v>24</v>
      </c>
      <c r="B27" t="str">
        <v>金</v>
      </c>
      <c r="C27">
        <v>5</v>
      </c>
      <c r="D27">
        <v>0.5833333333333334</v>
      </c>
      <c r="E27">
        <v>5</v>
      </c>
      <c r="F27">
        <v>0.5833333333333334</v>
      </c>
      <c r="G27">
        <v>5</v>
      </c>
      <c r="H27">
        <v>0.5833333333333334</v>
      </c>
      <c r="I27">
        <v>5</v>
      </c>
      <c r="J27">
        <v>0.5833333333333334</v>
      </c>
      <c r="K27">
        <v>5</v>
      </c>
      <c r="L27">
        <v>0.5833333333333334</v>
      </c>
      <c r="M27">
        <v>5</v>
      </c>
      <c r="N27">
        <v>0.5833333333333334</v>
      </c>
      <c r="O27" t="str">
        <v>短縮</v>
      </c>
      <c r="P27" t="str">
        <v>○</v>
      </c>
      <c r="Q27" t="str" xml:space="preserve">
        <v xml:space="preserve">【短】授業参観、学年学級懇談会_x000d_
◇PTA専門・実行委員会</v>
      </c>
    </row>
    <row r="28">
      <c r="A28">
        <v>25</v>
      </c>
      <c r="B28" t="str">
        <v>土</v>
      </c>
      <c r="Q28" t="str">
        <v>PTA奉仕作業1、資源回収</v>
      </c>
    </row>
    <row r="29">
      <c r="A29">
        <v>26</v>
      </c>
      <c r="B29" t="str">
        <v>日</v>
      </c>
    </row>
    <row r="30" xml:space="preserve">
      <c r="A30">
        <v>27</v>
      </c>
      <c r="B30" t="str">
        <v>月</v>
      </c>
      <c r="C30">
        <v>4</v>
      </c>
      <c r="D30">
        <v>0.5416666666666666</v>
      </c>
      <c r="E30">
        <v>4</v>
      </c>
      <c r="F30">
        <v>0.5868055555555556</v>
      </c>
      <c r="G30">
        <v>5</v>
      </c>
      <c r="H30">
        <v>0.6180555555555556</v>
      </c>
      <c r="I30">
        <v>5</v>
      </c>
      <c r="J30">
        <v>0.6180555555555556</v>
      </c>
      <c r="K30">
        <v>5</v>
      </c>
      <c r="L30">
        <v>0.6180555555555556</v>
      </c>
      <c r="M30">
        <v>6</v>
      </c>
      <c r="N30">
        <v>0.6527777777777778</v>
      </c>
      <c r="P30" t="str">
        <v>○</v>
      </c>
      <c r="Q30" t="str" xml:space="preserve">
        <v xml:space="preserve">全国学力・学習状況調査質問紙②(6年：学1)、_x000d_
運動会全体練習③(全：行1)</v>
      </c>
    </row>
    <row r="31">
      <c r="A31">
        <v>28</v>
      </c>
      <c r="B31" t="str">
        <v>火</v>
      </c>
      <c r="C31">
        <v>5</v>
      </c>
      <c r="D31">
        <v>0.6006944444444444</v>
      </c>
      <c r="E31">
        <v>5</v>
      </c>
      <c r="F31">
        <v>0.6006944444444444</v>
      </c>
      <c r="G31">
        <v>5</v>
      </c>
      <c r="H31">
        <v>0.6006944444444444</v>
      </c>
      <c r="I31">
        <v>6</v>
      </c>
      <c r="J31">
        <v>0.6354166666666666</v>
      </c>
      <c r="K31">
        <v>6</v>
      </c>
      <c r="L31">
        <v>0.6354166666666666</v>
      </c>
      <c r="M31">
        <v>6</v>
      </c>
      <c r="N31">
        <v>0.6354166666666666</v>
      </c>
      <c r="P31" t="str">
        <v>○</v>
      </c>
      <c r="Q31" t="str">
        <v>【２校時まで短縮】なかよし班交流タイム(業間)、耳鼻科検診13:30～</v>
      </c>
    </row>
    <row r="32">
      <c r="A32">
        <v>29</v>
      </c>
      <c r="B32" t="str">
        <v>水</v>
      </c>
      <c r="Q32" t="str">
        <v xml:space="preserve">                         昭和の日</v>
      </c>
    </row>
    <row r="33" xml:space="preserve">
      <c r="A33">
        <v>30</v>
      </c>
      <c r="B33" t="str">
        <v>木</v>
      </c>
      <c r="C33">
        <v>4</v>
      </c>
      <c r="D33">
        <v>0.5416666666666666</v>
      </c>
      <c r="E33">
        <v>5</v>
      </c>
      <c r="F33">
        <v>0.6006944444444444</v>
      </c>
      <c r="G33">
        <v>5</v>
      </c>
      <c r="H33">
        <v>0.6006944444444444</v>
      </c>
      <c r="I33">
        <v>5</v>
      </c>
      <c r="J33">
        <v>0.6006944444444444</v>
      </c>
      <c r="K33">
        <v>5</v>
      </c>
      <c r="L33">
        <v>0.6006944444444444</v>
      </c>
      <c r="M33">
        <v>5</v>
      </c>
      <c r="N33">
        <v>0.6006944444444444</v>
      </c>
      <c r="P33" t="str">
        <v>○</v>
      </c>
      <c r="Q33" t="str" xml:space="preserve">
        <v xml:space="preserve">運動会種目説明会14:45～15:30_x000d_
※月末統計</v>
      </c>
    </row>
    <row r="35" xml:space="preserve">
      <c r="A35" t="str">
        <v>留意点</v>
      </c>
      <c r="B35" t="str" xml:space="preserve">
        <v xml:space="preserve">○4/20(月)は、児童会活動日のため、4～6年生の下校時刻が、15:30となります。_x000d_
　来月以降も「児童会活動日」の下校時刻は、15:30となります。_x000d_
○4/28(火)の１年生の下校時刻を修正しました（赤字の部分）。</v>
      </c>
    </row>
    <row r="36">
      <c r="B36">
        <f>F2</f>
        <v>4</v>
      </c>
      <c r="C36" t="str">
        <v>月</v>
      </c>
      <c r="D36" t="str">
        <v>実施時数予定</v>
      </c>
    </row>
    <row r="37">
      <c r="C37" t="str">
        <v>１年</v>
      </c>
      <c r="E37" t="str">
        <v>２年</v>
      </c>
      <c r="G37" t="str">
        <v>３年</v>
      </c>
      <c r="I37" t="str">
        <v>４年</v>
      </c>
      <c r="K37" t="str">
        <v>５年</v>
      </c>
      <c r="M37" t="str">
        <v>６年</v>
      </c>
      <c r="O37" t="str">
        <v>食数</v>
      </c>
    </row>
    <row r="38">
      <c r="A38" t="str">
        <v>実施できる時数</v>
      </c>
      <c r="C38">
        <f>SUM(C4:C33)</f>
        <v>70</v>
      </c>
      <c r="E38">
        <f>SUM(E4:E33)</f>
        <v>75</v>
      </c>
      <c r="G38">
        <f>SUM(G4:G33)</f>
        <v>85</v>
      </c>
      <c r="I38">
        <f>SUM(I4:I33)</f>
        <v>89</v>
      </c>
      <c r="K38">
        <f>SUM(K4:K33)</f>
        <v>92</v>
      </c>
      <c r="M38">
        <f>SUM(M4:M33)</f>
        <v>93</v>
      </c>
      <c r="O38">
        <f>COUNTIF(P4:P34,"○")</f>
        <v>16</v>
      </c>
    </row>
    <row r="39">
      <c r="A39" t="str">
        <v>計画された時数</v>
      </c>
      <c r="C39">
        <v>69</v>
      </c>
      <c r="E39">
        <v>75</v>
      </c>
      <c r="G39">
        <v>85</v>
      </c>
      <c r="I39">
        <v>89</v>
      </c>
      <c r="K39">
        <v>92</v>
      </c>
      <c r="M39">
        <v>93</v>
      </c>
    </row>
    <row r="40">
      <c r="A40" t="str">
        <v>4月余剰時数</v>
      </c>
      <c r="C40">
        <f>C38-C39</f>
        <v>1</v>
      </c>
      <c r="E40">
        <f>E38-E39</f>
        <v>0</v>
      </c>
      <c r="G40">
        <f>G38-G39</f>
        <v>0</v>
      </c>
      <c r="I40">
        <f>I38-I39</f>
        <v>0</v>
      </c>
      <c r="K40">
        <f>K38-K39</f>
        <v>0</v>
      </c>
      <c r="M40">
        <f>M38-M39</f>
        <v>0</v>
      </c>
    </row>
    <row r="41">
      <c r="Q41">
        <v>3</v>
      </c>
    </row>
  </sheetData>
  <mergeCells count="41">
    <mergeCell ref="M40:N40"/>
    <mergeCell ref="A40:B40"/>
    <mergeCell ref="C40:D40"/>
    <mergeCell ref="E40:F40"/>
    <mergeCell ref="G40:H40"/>
    <mergeCell ref="I40:J40"/>
    <mergeCell ref="K40:L40"/>
    <mergeCell ref="M38:N38"/>
    <mergeCell ref="A39:B39"/>
    <mergeCell ref="C39:D39"/>
    <mergeCell ref="E39:F39"/>
    <mergeCell ref="G39:H39"/>
    <mergeCell ref="I39:J39"/>
    <mergeCell ref="K39:L39"/>
    <mergeCell ref="M39:N39"/>
    <mergeCell ref="A38:B38"/>
    <mergeCell ref="C38:D38"/>
    <mergeCell ref="E38:F38"/>
    <mergeCell ref="G38:H38"/>
    <mergeCell ref="I38:J38"/>
    <mergeCell ref="K38:L38"/>
    <mergeCell ref="M3:N3"/>
    <mergeCell ref="B35:Q35"/>
    <mergeCell ref="D36:G36"/>
    <mergeCell ref="A37:B37"/>
    <mergeCell ref="C37:D37"/>
    <mergeCell ref="E37:F37"/>
    <mergeCell ref="G37:H37"/>
    <mergeCell ref="I37:J37"/>
    <mergeCell ref="K37:L37"/>
    <mergeCell ref="M37:N37"/>
    <mergeCell ref="C3:D3"/>
    <mergeCell ref="E3:F3"/>
    <mergeCell ref="G3:H3"/>
    <mergeCell ref="I3:J3"/>
    <mergeCell ref="K3:L3"/>
    <mergeCell ref="A1:D1"/>
    <mergeCell ref="P1:Q1"/>
    <mergeCell ref="A2:D2"/>
    <mergeCell ref="H2:O2"/>
    <mergeCell ref="P2:Q2"/>
  </mergeCells>
  <pageMargins left="0.7086614173228347" right="0.4724409448818898" top="0.3937007874015748" bottom="0.4330708661417323" header="0.31496062992125984" footer="0.31496062992125984"/>
  <ignoredErrors>
    <ignoredError numberStoredAsText="1" sqref="A1:Q4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W44"/>
  <sheetViews>
    <sheetView workbookViewId="0" rightToLeft="0"/>
  </sheetViews>
  <sheetData>
    <row r="2">
      <c r="A2" t="str">
        <v>令和８年度</v>
      </c>
      <c r="E2" t="str">
        <v>5月</v>
      </c>
      <c r="G2" t="str">
        <v>授業時数･下校予定時刻一覧表</v>
      </c>
      <c r="Q2" t="str">
        <v>本宮市立本宮まゆみ小学校</v>
      </c>
    </row>
    <row r="3">
      <c r="A3" t="str">
        <v>日</v>
      </c>
      <c r="B3" t="str">
        <v>曜</v>
      </c>
      <c r="C3" t="str">
        <v>１学年</v>
      </c>
      <c r="E3" t="str">
        <v>２学年</v>
      </c>
      <c r="G3" t="str">
        <v>３学年</v>
      </c>
      <c r="I3" t="str">
        <v>４学年</v>
      </c>
      <c r="K3" t="str">
        <v>５学年</v>
      </c>
      <c r="M3" t="str">
        <v>６学年</v>
      </c>
      <c r="O3" t="str">
        <v>特別日程</v>
      </c>
      <c r="P3" t="str">
        <v>給食</v>
      </c>
      <c r="Q3" t="str">
        <v>行　　事　　等</v>
      </c>
    </row>
    <row r="4">
      <c r="A4">
        <v>1</v>
      </c>
      <c r="B4" t="str">
        <v>金</v>
      </c>
      <c r="C4">
        <v>4</v>
      </c>
      <c r="D4">
        <v>0.5520833333333334</v>
      </c>
      <c r="E4">
        <v>5</v>
      </c>
      <c r="F4">
        <v>0.6180555555555556</v>
      </c>
      <c r="G4">
        <v>5</v>
      </c>
      <c r="H4">
        <v>0.6180555555555556</v>
      </c>
      <c r="I4">
        <v>5</v>
      </c>
      <c r="J4">
        <v>0.6180555555555556</v>
      </c>
      <c r="K4">
        <v>5</v>
      </c>
      <c r="L4">
        <v>0.6458333333333334</v>
      </c>
      <c r="M4">
        <v>5</v>
      </c>
      <c r="N4">
        <v>0.6458333333333334</v>
      </c>
      <c r="P4" t="str">
        <v>○</v>
      </c>
      <c r="Q4" t="str">
        <v>運動会係児童打ち合わせ15:00～15:30(高)、安全点検、防火診断１</v>
      </c>
    </row>
    <row r="5">
      <c r="A5">
        <v>2</v>
      </c>
      <c r="B5" t="str">
        <v>土</v>
      </c>
    </row>
    <row r="6">
      <c r="A6">
        <v>3</v>
      </c>
      <c r="B6" t="str">
        <v>日</v>
      </c>
      <c r="Q6" t="str">
        <v xml:space="preserve">　　　　　　　憲法記念日</v>
      </c>
    </row>
    <row r="7">
      <c r="A7">
        <v>4</v>
      </c>
      <c r="B7" t="str">
        <v>月</v>
      </c>
      <c r="Q7" t="str">
        <v xml:space="preserve">　　　　　　　みどりの日</v>
      </c>
    </row>
    <row r="8">
      <c r="A8">
        <v>5</v>
      </c>
      <c r="B8" t="str">
        <v>火</v>
      </c>
      <c r="Q8" t="str">
        <v xml:space="preserve">　　　　　　　こどもの日</v>
      </c>
    </row>
    <row r="9">
      <c r="A9">
        <v>6</v>
      </c>
      <c r="B9" t="str">
        <v>水</v>
      </c>
      <c r="Q9" t="str">
        <v>振替休日</v>
      </c>
    </row>
    <row r="10" xml:space="preserve">
      <c r="A10">
        <v>7</v>
      </c>
      <c r="B10" t="str">
        <v>木</v>
      </c>
      <c r="C10">
        <v>4</v>
      </c>
      <c r="D10">
        <v>0.5520833333333334</v>
      </c>
      <c r="E10">
        <v>5</v>
      </c>
      <c r="F10">
        <v>0.6006944444444444</v>
      </c>
      <c r="G10">
        <v>6</v>
      </c>
      <c r="H10">
        <v>0.6354166666666666</v>
      </c>
      <c r="I10">
        <v>6</v>
      </c>
      <c r="J10">
        <v>0.6354166666666666</v>
      </c>
      <c r="K10">
        <v>6</v>
      </c>
      <c r="L10">
        <v>0.6354166666666666</v>
      </c>
      <c r="M10">
        <v>6</v>
      </c>
      <c r="N10">
        <v>0.6354166666666666</v>
      </c>
      <c r="P10" t="str">
        <v>○</v>
      </c>
      <c r="Q10" t="str" xml:space="preserve">
        <v xml:space="preserve">心電図検査8:30～(1・4年：行1)_x000d_
※4月月案反省提出</v>
      </c>
    </row>
    <row r="11" xml:space="preserve">
      <c r="A11">
        <v>8</v>
      </c>
      <c r="B11" t="str">
        <v>金</v>
      </c>
      <c r="C11">
        <v>4</v>
      </c>
      <c r="D11">
        <v>0.5416666666666666</v>
      </c>
      <c r="E11">
        <v>5</v>
      </c>
      <c r="F11">
        <v>0.5833333333333334</v>
      </c>
      <c r="G11">
        <v>5</v>
      </c>
      <c r="H11">
        <v>0.5833333333333334</v>
      </c>
      <c r="I11">
        <v>5</v>
      </c>
      <c r="J11">
        <v>0.5833333333333334</v>
      </c>
      <c r="K11">
        <v>5</v>
      </c>
      <c r="L11">
        <v>0.625</v>
      </c>
      <c r="M11">
        <v>5</v>
      </c>
      <c r="N11">
        <v>0.625</v>
      </c>
      <c r="O11" t="str">
        <v>短縮</v>
      </c>
      <c r="P11" t="str">
        <v>○</v>
      </c>
      <c r="Q11" t="str" xml:space="preserve">
        <v xml:space="preserve">【短】運動会全体練習2②（全：体1）、_x000d_
運動会準備作業(高：欠1)14:15～15:00</v>
      </c>
    </row>
    <row r="12">
      <c r="A12">
        <v>9</v>
      </c>
      <c r="B12" t="str">
        <v>土</v>
      </c>
      <c r="C12" t="str">
        <v>①</v>
      </c>
      <c r="D12">
        <v>0.5</v>
      </c>
      <c r="E12" t="str">
        <v>①</v>
      </c>
      <c r="F12">
        <v>0.5</v>
      </c>
      <c r="G12" t="str">
        <v>①</v>
      </c>
      <c r="H12">
        <v>0.5</v>
      </c>
      <c r="I12" t="str">
        <v>①</v>
      </c>
      <c r="J12">
        <v>0.5</v>
      </c>
      <c r="K12" t="str">
        <v>①</v>
      </c>
      <c r="L12">
        <v>0.5</v>
      </c>
      <c r="M12" t="str">
        <v>①</v>
      </c>
      <c r="N12">
        <v>0.5</v>
      </c>
      <c r="P12" t="str">
        <v>×</v>
      </c>
      <c r="Q12" t="str">
        <v>運動会</v>
      </c>
    </row>
    <row r="13">
      <c r="A13">
        <v>10</v>
      </c>
      <c r="B13" t="str">
        <v>日</v>
      </c>
      <c r="Q13" t="str">
        <v>運動会予備日</v>
      </c>
    </row>
    <row r="14">
      <c r="A14">
        <v>11</v>
      </c>
      <c r="B14" t="str">
        <v>月</v>
      </c>
      <c r="Q14" t="str">
        <v>繰替休業日</v>
      </c>
    </row>
    <row r="15" xml:space="preserve">
      <c r="A15">
        <v>12</v>
      </c>
      <c r="B15" t="str">
        <v>火</v>
      </c>
      <c r="C15">
        <v>4</v>
      </c>
      <c r="D15">
        <v>0.5520833333333334</v>
      </c>
      <c r="E15">
        <v>4</v>
      </c>
      <c r="F15">
        <v>0.6006944444444444</v>
      </c>
      <c r="G15">
        <v>5</v>
      </c>
      <c r="H15">
        <v>0.6006944444444444</v>
      </c>
      <c r="I15">
        <v>5</v>
      </c>
      <c r="J15">
        <v>0.6354166666666666</v>
      </c>
      <c r="K15">
        <v>6</v>
      </c>
      <c r="L15">
        <v>0.6354166666666666</v>
      </c>
      <c r="M15">
        <v>5</v>
      </c>
      <c r="N15">
        <v>0.6354166666666666</v>
      </c>
      <c r="P15" t="str">
        <v>○</v>
      </c>
      <c r="Q15" t="str" xml:space="preserve">
        <v xml:space="preserve">知能検査（2・4・6年：欠1）、登校班長会議_x000d_
※口座振替日1</v>
      </c>
    </row>
    <row r="16">
      <c r="A16">
        <v>13</v>
      </c>
      <c r="B16" t="str">
        <v>水</v>
      </c>
      <c r="C16">
        <v>4</v>
      </c>
      <c r="D16">
        <v>0.5520833333333334</v>
      </c>
      <c r="E16">
        <v>5</v>
      </c>
      <c r="F16">
        <v>0.6180555555555556</v>
      </c>
      <c r="G16">
        <v>5</v>
      </c>
      <c r="H16">
        <v>0.6180555555555556</v>
      </c>
      <c r="I16">
        <v>5</v>
      </c>
      <c r="J16">
        <v>0.6180555555555556</v>
      </c>
      <c r="K16">
        <v>5</v>
      </c>
      <c r="L16">
        <v>0.6180555555555556</v>
      </c>
      <c r="M16">
        <v>5</v>
      </c>
      <c r="N16">
        <v>0.6180555555555556</v>
      </c>
      <c r="P16" t="str">
        <v>○</v>
      </c>
      <c r="Q16" t="str">
        <v>市小学校鼓笛パレード(高：教2行2)</v>
      </c>
    </row>
    <row r="17">
      <c r="A17">
        <v>14</v>
      </c>
      <c r="B17" t="str">
        <v>木</v>
      </c>
      <c r="C17">
        <v>4</v>
      </c>
      <c r="D17">
        <v>0.5520833333333334</v>
      </c>
      <c r="E17">
        <v>5</v>
      </c>
      <c r="F17">
        <v>0.6006944444444444</v>
      </c>
      <c r="G17">
        <v>6</v>
      </c>
      <c r="H17">
        <v>0.6354166666666666</v>
      </c>
      <c r="I17">
        <v>6</v>
      </c>
      <c r="J17">
        <v>0.6354166666666666</v>
      </c>
      <c r="K17">
        <v>6</v>
      </c>
      <c r="L17">
        <v>0.6354166666666666</v>
      </c>
      <c r="M17">
        <v>6</v>
      </c>
      <c r="N17">
        <v>0.6354166666666666</v>
      </c>
      <c r="P17" t="str">
        <v>○</v>
      </c>
      <c r="Q17" t="str">
        <v>市小学校鼓笛パレード予備日</v>
      </c>
    </row>
    <row r="18">
      <c r="A18">
        <v>15</v>
      </c>
      <c r="B18" t="str">
        <v>金</v>
      </c>
      <c r="C18">
        <v>5</v>
      </c>
      <c r="D18">
        <v>0.6180555555555556</v>
      </c>
      <c r="E18">
        <v>5</v>
      </c>
      <c r="F18">
        <v>0.6180555555555556</v>
      </c>
      <c r="G18">
        <v>5</v>
      </c>
      <c r="H18">
        <v>0.6180555555555556</v>
      </c>
      <c r="I18">
        <v>5</v>
      </c>
      <c r="J18">
        <v>0.6180555555555556</v>
      </c>
      <c r="K18">
        <v>5</v>
      </c>
      <c r="L18">
        <v>0.6180555555555556</v>
      </c>
      <c r="M18">
        <v>5</v>
      </c>
      <c r="N18">
        <v>0.6180555555555556</v>
      </c>
      <c r="P18" t="str">
        <v>○</v>
      </c>
      <c r="Q18" t="str">
        <v>鑑賞教室③④(教1行1)、校内就学指導委員会1</v>
      </c>
    </row>
    <row r="19">
      <c r="A19">
        <v>16</v>
      </c>
      <c r="B19" t="str">
        <v>土</v>
      </c>
    </row>
    <row r="20">
      <c r="A20">
        <v>17</v>
      </c>
      <c r="B20" t="str">
        <v>日</v>
      </c>
    </row>
    <row r="21">
      <c r="A21">
        <v>18</v>
      </c>
      <c r="B21" t="str">
        <v>月</v>
      </c>
      <c r="C21">
        <v>4</v>
      </c>
      <c r="D21">
        <v>0.5868055555555556</v>
      </c>
      <c r="E21">
        <v>5</v>
      </c>
      <c r="F21">
        <v>0.6180555555555556</v>
      </c>
      <c r="G21">
        <v>5</v>
      </c>
      <c r="H21">
        <v>0.6180555555555556</v>
      </c>
      <c r="I21">
        <v>5</v>
      </c>
      <c r="J21">
        <v>0.6458333333333334</v>
      </c>
      <c r="K21">
        <v>5</v>
      </c>
      <c r="L21">
        <v>0.6458333333333334</v>
      </c>
      <c r="M21">
        <v>5</v>
      </c>
      <c r="N21">
        <v>0.6458333333333334</v>
      </c>
      <c r="P21" t="str">
        <v>○</v>
      </c>
      <c r="Q21" t="str">
        <v>租税教室②③(6年：社1)、1年生清掃開始、児童会活動日</v>
      </c>
    </row>
    <row r="22">
      <c r="A22">
        <v>19</v>
      </c>
      <c r="B22" t="str">
        <v>火</v>
      </c>
      <c r="C22">
        <v>4</v>
      </c>
      <c r="D22">
        <v>0.5694444444444444</v>
      </c>
      <c r="E22">
        <v>5</v>
      </c>
      <c r="F22">
        <v>0.6006944444444444</v>
      </c>
      <c r="G22">
        <v>5</v>
      </c>
      <c r="H22">
        <v>0.6006944444444444</v>
      </c>
      <c r="I22">
        <v>6</v>
      </c>
      <c r="J22">
        <v>0.6354166666666666</v>
      </c>
      <c r="K22">
        <v>6</v>
      </c>
      <c r="L22">
        <v>0.6354166666666666</v>
      </c>
      <c r="M22">
        <v>6</v>
      </c>
      <c r="N22">
        <v>0.6354166666666666</v>
      </c>
      <c r="P22" t="str">
        <v>○</v>
      </c>
      <c r="Q22" t="str">
        <v>ふくしま学力調査(4～6年：国1、算1、学1)、クラブ活動（上：ク1)</v>
      </c>
    </row>
    <row r="23">
      <c r="A23">
        <v>20</v>
      </c>
      <c r="B23" t="str">
        <v>水</v>
      </c>
      <c r="C23">
        <v>4</v>
      </c>
      <c r="D23">
        <v>0.6180555555555556</v>
      </c>
      <c r="E23">
        <v>4</v>
      </c>
      <c r="F23">
        <v>0.6180555555555556</v>
      </c>
      <c r="G23">
        <v>6</v>
      </c>
      <c r="H23">
        <v>0.6527777777777778</v>
      </c>
      <c r="I23">
        <v>6</v>
      </c>
      <c r="J23">
        <v>0.6527777777777778</v>
      </c>
      <c r="K23">
        <v>6</v>
      </c>
      <c r="L23">
        <v>0.6527777777777778</v>
      </c>
      <c r="M23">
        <v>6</v>
      </c>
      <c r="N23">
        <v>0.6527777777777778</v>
      </c>
      <c r="P23" t="str">
        <v>○</v>
      </c>
      <c r="Q23" t="str">
        <v>QUテスト1(低：欠1、3～6年：業間)</v>
      </c>
    </row>
    <row r="24">
      <c r="A24">
        <v>21</v>
      </c>
      <c r="B24" t="str">
        <v>木</v>
      </c>
      <c r="C24">
        <v>4</v>
      </c>
      <c r="D24">
        <v>0.5416666666666666</v>
      </c>
      <c r="E24">
        <v>5</v>
      </c>
      <c r="F24">
        <v>0.5833333333333334</v>
      </c>
      <c r="G24">
        <v>5</v>
      </c>
      <c r="H24">
        <v>0.5833333333333334</v>
      </c>
      <c r="I24">
        <v>5</v>
      </c>
      <c r="J24">
        <v>0.5833333333333334</v>
      </c>
      <c r="K24">
        <v>5</v>
      </c>
      <c r="L24">
        <v>0.5833333333333334</v>
      </c>
      <c r="M24">
        <v>5</v>
      </c>
      <c r="N24">
        <v>0.5833333333333334</v>
      </c>
      <c r="O24" t="str">
        <v>短縮</v>
      </c>
      <c r="P24" t="str">
        <v>○</v>
      </c>
      <c r="Q24" t="str">
        <v>【短】職員会議、歯科検診8:30～（全：行１）、尿検査</v>
      </c>
    </row>
    <row r="25" xml:space="preserve">
      <c r="A25">
        <v>22</v>
      </c>
      <c r="B25" t="str">
        <v>金</v>
      </c>
      <c r="C25">
        <v>5</v>
      </c>
      <c r="D25">
        <v>0.6180555555555556</v>
      </c>
      <c r="E25">
        <v>5</v>
      </c>
      <c r="F25">
        <v>0.6180555555555556</v>
      </c>
      <c r="G25">
        <v>5</v>
      </c>
      <c r="H25">
        <v>0.6180555555555556</v>
      </c>
      <c r="I25">
        <v>5</v>
      </c>
      <c r="J25">
        <v>0.6180555555555556</v>
      </c>
      <c r="K25">
        <v>6</v>
      </c>
      <c r="L25">
        <v>0.6527777777777778</v>
      </c>
      <c r="M25">
        <v>6</v>
      </c>
      <c r="N25">
        <v>0.6527777777777778</v>
      </c>
      <c r="P25" t="str">
        <v>○</v>
      </c>
      <c r="Q25" t="str" xml:space="preserve">
        <v xml:space="preserve">プール清掃（教1）⑤6年、⑥5年、尿検査一次予備日_x000d_
※6月時間割提出</v>
      </c>
    </row>
    <row r="26">
      <c r="A26">
        <v>23</v>
      </c>
      <c r="B26" t="str">
        <v>土</v>
      </c>
    </row>
    <row r="27">
      <c r="A27">
        <v>24</v>
      </c>
      <c r="B27" t="str">
        <v>日</v>
      </c>
    </row>
    <row r="28" xml:space="preserve">
      <c r="A28">
        <v>25</v>
      </c>
      <c r="B28" t="str">
        <v>月</v>
      </c>
      <c r="C28">
        <v>4</v>
      </c>
      <c r="D28">
        <v>0.5868055555555556</v>
      </c>
      <c r="E28">
        <v>5</v>
      </c>
      <c r="F28">
        <v>0.6180555555555556</v>
      </c>
      <c r="G28">
        <v>5</v>
      </c>
      <c r="H28">
        <v>0.6180555555555556</v>
      </c>
      <c r="I28">
        <v>6</v>
      </c>
      <c r="J28">
        <v>0.6527777777777778</v>
      </c>
      <c r="K28">
        <v>6</v>
      </c>
      <c r="L28">
        <v>0.6527777777777778</v>
      </c>
      <c r="M28">
        <v>6</v>
      </c>
      <c r="N28">
        <v>0.6527777777777778</v>
      </c>
      <c r="P28" t="str">
        <v>○</v>
      </c>
      <c r="Q28" t="str" xml:space="preserve">
        <v xml:space="preserve">全校集会（南達陸上選手を励ます会）_x000d_
※口座振替日２</v>
      </c>
    </row>
    <row r="29">
      <c r="A29">
        <v>26</v>
      </c>
      <c r="B29" t="str">
        <v>火</v>
      </c>
      <c r="C29">
        <v>5</v>
      </c>
      <c r="D29">
        <v>0.6006944444444444</v>
      </c>
      <c r="E29">
        <v>5</v>
      </c>
      <c r="F29">
        <v>0.6006944444444444</v>
      </c>
      <c r="G29">
        <v>5</v>
      </c>
      <c r="H29">
        <v>0.6006944444444444</v>
      </c>
      <c r="I29">
        <v>6</v>
      </c>
      <c r="J29">
        <v>0.6354166666666666</v>
      </c>
      <c r="K29">
        <v>6</v>
      </c>
      <c r="L29">
        <v>0.6354166666666666</v>
      </c>
      <c r="M29">
        <v>6</v>
      </c>
      <c r="N29">
        <v>0.6354166666666666</v>
      </c>
      <c r="P29" t="str">
        <v>○</v>
      </c>
      <c r="Q29" t="str">
        <v>食に関する授業②③（1年：学）</v>
      </c>
    </row>
    <row r="30">
      <c r="A30">
        <v>27</v>
      </c>
      <c r="B30" t="str">
        <v>水</v>
      </c>
      <c r="C30">
        <v>5</v>
      </c>
      <c r="D30">
        <v>0.6180555555555556</v>
      </c>
      <c r="E30">
        <v>5</v>
      </c>
      <c r="F30">
        <v>0.6180555555555556</v>
      </c>
      <c r="G30">
        <v>5</v>
      </c>
      <c r="H30">
        <v>0.6180555555555556</v>
      </c>
      <c r="I30">
        <v>5</v>
      </c>
      <c r="J30">
        <v>0.6180555555555556</v>
      </c>
      <c r="K30">
        <v>5</v>
      </c>
      <c r="L30">
        <v>0.6180555555555556</v>
      </c>
      <c r="M30" t="str">
        <v>①</v>
      </c>
      <c r="N30">
        <v>0.6180555555555556</v>
      </c>
      <c r="P30" t="str">
        <v>弁</v>
      </c>
      <c r="Q30" t="str">
        <v>南達方部小学校交歓陸上競技大会(6年：行①)、弁当日</v>
      </c>
    </row>
    <row r="31">
      <c r="A31">
        <v>28</v>
      </c>
      <c r="B31" t="str">
        <v>木</v>
      </c>
      <c r="C31">
        <v>4</v>
      </c>
      <c r="D31">
        <v>0.5694444444444444</v>
      </c>
      <c r="E31">
        <v>5</v>
      </c>
      <c r="F31">
        <v>0.6006944444444444</v>
      </c>
      <c r="G31">
        <v>6</v>
      </c>
      <c r="H31">
        <v>0.6354166666666666</v>
      </c>
      <c r="I31">
        <v>6</v>
      </c>
      <c r="J31">
        <v>0.6354166666666666</v>
      </c>
      <c r="K31">
        <v>6</v>
      </c>
      <c r="L31">
        <v>0.6354166666666666</v>
      </c>
      <c r="M31">
        <v>6</v>
      </c>
      <c r="N31">
        <v>0.6354166666666666</v>
      </c>
      <c r="P31" t="str">
        <v>○</v>
      </c>
      <c r="Q31" t="str">
        <v>救急救命法講習会15:25～16:25</v>
      </c>
    </row>
    <row r="32" xml:space="preserve">
      <c r="A32">
        <v>29</v>
      </c>
      <c r="B32" t="str">
        <v>金</v>
      </c>
      <c r="C32">
        <v>5</v>
      </c>
      <c r="D32">
        <v>0.6180555555555556</v>
      </c>
      <c r="E32">
        <v>5</v>
      </c>
      <c r="F32">
        <v>0.6180555555555556</v>
      </c>
      <c r="G32">
        <v>5</v>
      </c>
      <c r="H32">
        <v>0.6180555555555556</v>
      </c>
      <c r="I32">
        <v>5</v>
      </c>
      <c r="J32">
        <v>0.6180555555555556</v>
      </c>
      <c r="K32">
        <v>5</v>
      </c>
      <c r="L32">
        <v>0.6180555555555556</v>
      </c>
      <c r="M32">
        <v>5</v>
      </c>
      <c r="N32">
        <v>0.6180555555555556</v>
      </c>
      <c r="P32" t="str">
        <v>弁</v>
      </c>
      <c r="Q32" t="str" xml:space="preserve">
        <v xml:space="preserve">南達方部小学校交歓陸上競技大会予備日、弁当日_x000d_
※月末統計</v>
      </c>
    </row>
    <row r="33">
      <c r="A33">
        <v>30</v>
      </c>
      <c r="B33" t="str">
        <v>土</v>
      </c>
    </row>
    <row r="34">
      <c r="A34">
        <v>31</v>
      </c>
      <c r="B34" t="str">
        <v>日</v>
      </c>
    </row>
    <row r="35" xml:space="preserve">
      <c r="A35" t="str">
        <v>留意点</v>
      </c>
      <c r="B35" t="str" xml:space="preserve">
        <v xml:space="preserve">○5/1(金)は、5・6年生は運動会係児童打ち合わせのため、下校時刻が15:30になります。_x000d_
○5/8(金)は、5・6年生は運動会準備作業のため、下校時刻が15:00になります。_x000d_
○5/12(火)は、2・4・6年生は知能検査のため、欠課1となります。_x000d_
　下校時刻が、2年生は14:25、4・6年生が15:15となります。_x000d_
○5/20(水)は、1・2年生はQUテストのため、欠課1となります(3～6年生は業間に行うため、欠課にはなりません)。_x000d_
　下校時刻が、1・2年生は14:50となります。</v>
      </c>
    </row>
    <row r="36">
      <c r="B36" t="str">
        <f>E2</f>
        <v>5月</v>
      </c>
      <c r="C36" t="str">
        <v>月</v>
      </c>
      <c r="D36" t="str">
        <v>実施時数予定</v>
      </c>
    </row>
    <row r="37">
      <c r="C37" t="str">
        <v>１年</v>
      </c>
      <c r="E37" t="str">
        <v>２年</v>
      </c>
      <c r="G37" t="str">
        <v>３年</v>
      </c>
      <c r="I37" t="str">
        <v>４年</v>
      </c>
      <c r="K37" t="str">
        <v>５年</v>
      </c>
      <c r="M37" t="str">
        <v>６年</v>
      </c>
      <c r="O37" t="str">
        <v>Ｍ時数</v>
      </c>
      <c r="P37" t="str">
        <v>食数</v>
      </c>
    </row>
    <row r="38">
      <c r="A38" t="str">
        <v>実施できる時数</v>
      </c>
      <c r="C38">
        <f>SUM(C4:C34)</f>
        <v>73</v>
      </c>
      <c r="E38">
        <f>SUM(E4:E34)+O38</f>
        <v>83</v>
      </c>
      <c r="G38">
        <f>SUM(G4:G34)+O38</f>
        <v>89</v>
      </c>
      <c r="I38">
        <f>SUM(I4:I34)+O38</f>
        <v>92</v>
      </c>
      <c r="K38">
        <f>SUM(K4:K34)+O38</f>
        <v>94</v>
      </c>
      <c r="M38">
        <f>SUM(M4:M34)+O38</f>
        <v>88</v>
      </c>
      <c r="P38">
        <f>COUNTIF(P4:P34,"○")</f>
        <v>15</v>
      </c>
    </row>
    <row r="39">
      <c r="A39" t="str">
        <v>計画された時数</v>
      </c>
      <c r="C39">
        <v>73</v>
      </c>
      <c r="E39">
        <v>83</v>
      </c>
      <c r="G39">
        <v>89</v>
      </c>
      <c r="I39">
        <v>92</v>
      </c>
      <c r="K39">
        <v>94</v>
      </c>
      <c r="M39">
        <v>88</v>
      </c>
    </row>
    <row r="40">
      <c r="A40" t="str">
        <v>余剰時数</v>
      </c>
      <c r="C40">
        <f>C38-C39</f>
        <v>0</v>
      </c>
      <c r="E40">
        <f>E38-E39</f>
        <v>0</v>
      </c>
      <c r="G40">
        <f>G38-G39</f>
        <v>0</v>
      </c>
      <c r="I40">
        <f>I38-I39</f>
        <v>0</v>
      </c>
      <c r="K40">
        <f>K38-K39</f>
        <v>0</v>
      </c>
      <c r="M40">
        <f>M38-M39</f>
        <v>0</v>
      </c>
    </row>
    <row r="41">
      <c r="Q41">
        <v>3</v>
      </c>
    </row>
  </sheetData>
  <mergeCells count="47">
    <mergeCell ref="A40:B40"/>
    <mergeCell ref="C40:D40"/>
    <mergeCell ref="E40:F40"/>
    <mergeCell ref="G40:H40"/>
    <mergeCell ref="I40:J40"/>
    <mergeCell ref="G38:H38"/>
    <mergeCell ref="I38:J38"/>
    <mergeCell ref="A39:B39"/>
    <mergeCell ref="C39:D39"/>
    <mergeCell ref="E39:F39"/>
    <mergeCell ref="G39:H39"/>
    <mergeCell ref="I39:J39"/>
    <mergeCell ref="A38:B38"/>
    <mergeCell ref="C38:D38"/>
    <mergeCell ref="E38:F38"/>
    <mergeCell ref="K38:L38"/>
    <mergeCell ref="K40:L40"/>
    <mergeCell ref="M40:N40"/>
    <mergeCell ref="K39:L39"/>
    <mergeCell ref="M39:N39"/>
    <mergeCell ref="M38:N38"/>
    <mergeCell ref="R2:W2"/>
    <mergeCell ref="M3:N3"/>
    <mergeCell ref="R9:W9"/>
    <mergeCell ref="R16:W16"/>
    <mergeCell ref="A1:D1"/>
    <mergeCell ref="P1:Q1"/>
    <mergeCell ref="A2:D2"/>
    <mergeCell ref="C3:D3"/>
    <mergeCell ref="E3:F3"/>
    <mergeCell ref="G3:H3"/>
    <mergeCell ref="I3:J3"/>
    <mergeCell ref="K3:L3"/>
    <mergeCell ref="E2:F2"/>
    <mergeCell ref="G2:P2"/>
    <mergeCell ref="R22:W22"/>
    <mergeCell ref="R30:W30"/>
    <mergeCell ref="B35:Q35"/>
    <mergeCell ref="D36:G36"/>
    <mergeCell ref="A37:B37"/>
    <mergeCell ref="C37:D37"/>
    <mergeCell ref="E37:F37"/>
    <mergeCell ref="G37:H37"/>
    <mergeCell ref="I37:J37"/>
    <mergeCell ref="K37:L37"/>
    <mergeCell ref="M37:N37"/>
    <mergeCell ref="R37:W37"/>
  </mergeCells>
  <pageMargins left="0.4724409448818898" right="0.4724409448818898" top="0.3937007874015748" bottom="0.4330708661417323" header="0.31496062992125984" footer="0.31496062992125984"/>
  <ignoredErrors>
    <ignoredError numberStoredAsText="1" sqref="A1:W44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W44"/>
  <sheetViews>
    <sheetView workbookViewId="0" rightToLeft="0"/>
  </sheetViews>
  <sheetData>
    <row r="2">
      <c r="A2" t="str">
        <v>令和８年度</v>
      </c>
      <c r="E2" t="str">
        <v>5月</v>
      </c>
      <c r="G2" t="str">
        <v>授業時数･下校予定時刻一覧表(4/22版)</v>
      </c>
      <c r="Q2" t="str">
        <v>本宮市立本宮まゆみ小学校</v>
      </c>
    </row>
    <row r="3">
      <c r="A3" t="str">
        <v>日</v>
      </c>
      <c r="B3" t="str">
        <v>曜</v>
      </c>
      <c r="C3" t="str">
        <v>１学年</v>
      </c>
      <c r="E3" t="str">
        <v>２学年</v>
      </c>
      <c r="G3" t="str">
        <v>３学年</v>
      </c>
      <c r="I3" t="str">
        <v>４学年</v>
      </c>
      <c r="K3" t="str">
        <v>５学年</v>
      </c>
      <c r="M3" t="str">
        <v>６学年</v>
      </c>
      <c r="O3" t="str">
        <v>特別日程</v>
      </c>
      <c r="P3" t="str">
        <v>給食</v>
      </c>
      <c r="Q3" t="str">
        <v>行　　事　　等</v>
      </c>
    </row>
    <row r="4">
      <c r="A4">
        <v>1</v>
      </c>
      <c r="B4" t="str">
        <v>金</v>
      </c>
      <c r="C4">
        <v>4</v>
      </c>
      <c r="D4">
        <v>0.5520833333333334</v>
      </c>
      <c r="E4">
        <v>5</v>
      </c>
      <c r="F4">
        <v>0.6180555555555556</v>
      </c>
      <c r="G4">
        <v>5</v>
      </c>
      <c r="H4">
        <v>0.6180555555555556</v>
      </c>
      <c r="I4">
        <v>5</v>
      </c>
      <c r="J4">
        <v>0.6180555555555556</v>
      </c>
      <c r="K4">
        <v>5</v>
      </c>
      <c r="L4">
        <v>0.6458333333333334</v>
      </c>
      <c r="M4">
        <v>5</v>
      </c>
      <c r="N4">
        <v>0.6458333333333334</v>
      </c>
      <c r="P4" t="str">
        <v>○</v>
      </c>
      <c r="Q4" t="str">
        <v>運動会係児童打ち合わせ15:00～15:30(高)、安全点検、防火診断１</v>
      </c>
    </row>
    <row r="5">
      <c r="A5">
        <v>2</v>
      </c>
      <c r="B5" t="str">
        <v>土</v>
      </c>
    </row>
    <row r="6">
      <c r="A6">
        <v>3</v>
      </c>
      <c r="B6" t="str">
        <v>日</v>
      </c>
      <c r="Q6" t="str">
        <v xml:space="preserve">　　　　　　　憲法記念日</v>
      </c>
    </row>
    <row r="7">
      <c r="A7">
        <v>4</v>
      </c>
      <c r="B7" t="str">
        <v>月</v>
      </c>
      <c r="Q7" t="str">
        <v xml:space="preserve">　　　　　　　みどりの日</v>
      </c>
    </row>
    <row r="8">
      <c r="A8">
        <v>5</v>
      </c>
      <c r="B8" t="str">
        <v>火</v>
      </c>
      <c r="Q8" t="str">
        <v xml:space="preserve">　　　　　　　こどもの日</v>
      </c>
    </row>
    <row r="9">
      <c r="A9">
        <v>6</v>
      </c>
      <c r="B9" t="str">
        <v>水</v>
      </c>
      <c r="Q9" t="str">
        <v>振替休日</v>
      </c>
    </row>
    <row r="10" xml:space="preserve">
      <c r="A10">
        <v>7</v>
      </c>
      <c r="B10" t="str">
        <v>木</v>
      </c>
      <c r="C10">
        <v>4</v>
      </c>
      <c r="D10">
        <v>0.5520833333333334</v>
      </c>
      <c r="E10">
        <v>5</v>
      </c>
      <c r="F10">
        <v>0.6006944444444444</v>
      </c>
      <c r="G10">
        <v>6</v>
      </c>
      <c r="H10">
        <v>0.6354166666666666</v>
      </c>
      <c r="I10">
        <v>6</v>
      </c>
      <c r="J10">
        <v>0.6354166666666666</v>
      </c>
      <c r="K10">
        <v>6</v>
      </c>
      <c r="L10">
        <v>0.6354166666666666</v>
      </c>
      <c r="M10">
        <v>6</v>
      </c>
      <c r="N10">
        <v>0.6354166666666666</v>
      </c>
      <c r="P10" t="str">
        <v>○</v>
      </c>
      <c r="Q10" t="str" xml:space="preserve">
        <v xml:space="preserve">心電図検査8:30～(1・4年：行1)_x000d_
※4月月案反省提出</v>
      </c>
    </row>
    <row r="11" xml:space="preserve">
      <c r="A11">
        <v>8</v>
      </c>
      <c r="B11" t="str">
        <v>金</v>
      </c>
      <c r="C11">
        <v>4</v>
      </c>
      <c r="D11">
        <v>0.5416666666666666</v>
      </c>
      <c r="E11">
        <v>5</v>
      </c>
      <c r="F11">
        <v>0.5833333333333334</v>
      </c>
      <c r="G11">
        <v>5</v>
      </c>
      <c r="H11">
        <v>0.5833333333333334</v>
      </c>
      <c r="I11">
        <v>5</v>
      </c>
      <c r="J11">
        <v>0.5833333333333334</v>
      </c>
      <c r="K11">
        <v>5</v>
      </c>
      <c r="L11">
        <v>0.625</v>
      </c>
      <c r="M11">
        <v>5</v>
      </c>
      <c r="N11">
        <v>0.625</v>
      </c>
      <c r="O11" t="str">
        <v>短縮</v>
      </c>
      <c r="P11" t="str">
        <v>○</v>
      </c>
      <c r="Q11" t="str" xml:space="preserve">
        <v xml:space="preserve">【短】運動会全体練習2②（全：体1）、_x000d_
運動会準備作業(高：欠1)14:15～15:00</v>
      </c>
    </row>
    <row r="12">
      <c r="A12">
        <v>9</v>
      </c>
      <c r="B12" t="str">
        <v>土</v>
      </c>
      <c r="C12" t="str">
        <v>①</v>
      </c>
      <c r="D12">
        <v>0.5</v>
      </c>
      <c r="E12" t="str">
        <v>①</v>
      </c>
      <c r="F12">
        <v>0.5</v>
      </c>
      <c r="G12" t="str">
        <v>①</v>
      </c>
      <c r="H12">
        <v>0.5</v>
      </c>
      <c r="I12" t="str">
        <v>①</v>
      </c>
      <c r="J12">
        <v>0.5</v>
      </c>
      <c r="K12" t="str">
        <v>①</v>
      </c>
      <c r="L12">
        <v>0.5</v>
      </c>
      <c r="M12" t="str">
        <v>①</v>
      </c>
      <c r="N12">
        <v>0.5</v>
      </c>
      <c r="P12" t="str">
        <v>×</v>
      </c>
      <c r="Q12" t="str">
        <v>運動会</v>
      </c>
    </row>
    <row r="13">
      <c r="A13">
        <v>10</v>
      </c>
      <c r="B13" t="str">
        <v>日</v>
      </c>
      <c r="Q13" t="str">
        <v>運動会予備日</v>
      </c>
    </row>
    <row r="14">
      <c r="A14">
        <v>11</v>
      </c>
      <c r="B14" t="str">
        <v>月</v>
      </c>
      <c r="Q14" t="str">
        <v>繰替休業日</v>
      </c>
    </row>
    <row r="15" xml:space="preserve">
      <c r="A15">
        <v>12</v>
      </c>
      <c r="B15" t="str">
        <v>火</v>
      </c>
      <c r="C15">
        <v>4</v>
      </c>
      <c r="D15">
        <v>0.5520833333333334</v>
      </c>
      <c r="E15">
        <v>4</v>
      </c>
      <c r="F15">
        <v>0.6006944444444444</v>
      </c>
      <c r="G15">
        <v>5</v>
      </c>
      <c r="H15">
        <v>0.6006944444444444</v>
      </c>
      <c r="I15">
        <v>5</v>
      </c>
      <c r="J15">
        <v>0.6354166666666666</v>
      </c>
      <c r="K15">
        <v>6</v>
      </c>
      <c r="L15">
        <v>0.6354166666666666</v>
      </c>
      <c r="M15">
        <v>5</v>
      </c>
      <c r="N15">
        <v>0.6354166666666666</v>
      </c>
      <c r="P15" t="str">
        <v>○</v>
      </c>
      <c r="Q15" t="str" xml:space="preserve">
        <v xml:space="preserve">知能検査（2・4・6年：欠1）、登校班長会議_x000d_
※口座振替日1</v>
      </c>
    </row>
    <row r="16">
      <c r="A16">
        <v>13</v>
      </c>
      <c r="B16" t="str">
        <v>水</v>
      </c>
      <c r="C16">
        <v>4</v>
      </c>
      <c r="D16">
        <v>0.5520833333333334</v>
      </c>
      <c r="E16">
        <v>5</v>
      </c>
      <c r="F16">
        <v>0.6180555555555556</v>
      </c>
      <c r="G16">
        <v>5</v>
      </c>
      <c r="H16">
        <v>0.6180555555555556</v>
      </c>
      <c r="I16">
        <v>5</v>
      </c>
      <c r="J16">
        <v>0.6180555555555556</v>
      </c>
      <c r="K16">
        <v>5</v>
      </c>
      <c r="L16">
        <v>0.6180555555555556</v>
      </c>
      <c r="M16">
        <v>5</v>
      </c>
      <c r="N16">
        <v>0.6180555555555556</v>
      </c>
      <c r="P16" t="str">
        <v>○</v>
      </c>
      <c r="Q16" t="str">
        <v>市小学校鼓笛パレード(高：教2行2)</v>
      </c>
    </row>
    <row r="17">
      <c r="A17">
        <v>14</v>
      </c>
      <c r="B17" t="str">
        <v>木</v>
      </c>
      <c r="C17">
        <v>4</v>
      </c>
      <c r="D17">
        <v>0.5520833333333334</v>
      </c>
      <c r="E17">
        <v>5</v>
      </c>
      <c r="F17">
        <v>0.6006944444444444</v>
      </c>
      <c r="G17">
        <v>6</v>
      </c>
      <c r="H17">
        <v>0.6354166666666666</v>
      </c>
      <c r="I17">
        <v>6</v>
      </c>
      <c r="J17">
        <v>0.6354166666666666</v>
      </c>
      <c r="K17">
        <v>6</v>
      </c>
      <c r="L17">
        <v>0.6354166666666666</v>
      </c>
      <c r="M17">
        <v>6</v>
      </c>
      <c r="N17">
        <v>0.6354166666666666</v>
      </c>
      <c r="P17" t="str">
        <v>○</v>
      </c>
      <c r="Q17" t="str">
        <v>市小学校鼓笛パレード予備日</v>
      </c>
    </row>
    <row r="18">
      <c r="A18">
        <v>15</v>
      </c>
      <c r="B18" t="str">
        <v>金</v>
      </c>
      <c r="C18">
        <v>5</v>
      </c>
      <c r="D18">
        <v>0.6180555555555556</v>
      </c>
      <c r="E18">
        <v>5</v>
      </c>
      <c r="F18">
        <v>0.6180555555555556</v>
      </c>
      <c r="G18">
        <v>5</v>
      </c>
      <c r="H18">
        <v>0.6180555555555556</v>
      </c>
      <c r="I18">
        <v>5</v>
      </c>
      <c r="J18">
        <v>0.6180555555555556</v>
      </c>
      <c r="K18">
        <v>5</v>
      </c>
      <c r="L18">
        <v>0.6180555555555556</v>
      </c>
      <c r="M18">
        <v>5</v>
      </c>
      <c r="N18">
        <v>0.6180555555555556</v>
      </c>
      <c r="P18" t="str">
        <v>○</v>
      </c>
      <c r="Q18" t="str">
        <v>鑑賞教室③④(教1行1)、校内就学指導委員会1</v>
      </c>
    </row>
    <row r="19">
      <c r="A19">
        <v>16</v>
      </c>
      <c r="B19" t="str">
        <v>土</v>
      </c>
    </row>
    <row r="20">
      <c r="A20">
        <v>17</v>
      </c>
      <c r="B20" t="str">
        <v>日</v>
      </c>
    </row>
    <row r="21">
      <c r="A21">
        <v>18</v>
      </c>
      <c r="B21" t="str">
        <v>月</v>
      </c>
      <c r="C21">
        <v>4</v>
      </c>
      <c r="D21">
        <v>0.5868055555555556</v>
      </c>
      <c r="E21">
        <v>5</v>
      </c>
      <c r="F21">
        <v>0.6180555555555556</v>
      </c>
      <c r="G21">
        <v>5</v>
      </c>
      <c r="H21">
        <v>0.6180555555555556</v>
      </c>
      <c r="I21">
        <v>5</v>
      </c>
      <c r="J21">
        <v>0.6458333333333334</v>
      </c>
      <c r="K21">
        <v>5</v>
      </c>
      <c r="L21">
        <v>0.6458333333333334</v>
      </c>
      <c r="M21">
        <v>5</v>
      </c>
      <c r="N21">
        <v>0.6458333333333334</v>
      </c>
      <c r="P21" t="str">
        <v>○</v>
      </c>
      <c r="Q21" t="str">
        <v>租税教室②③(6年：社1)、1年生清掃開始、児童会活動日</v>
      </c>
    </row>
    <row r="22">
      <c r="A22">
        <v>19</v>
      </c>
      <c r="B22" t="str">
        <v>火</v>
      </c>
      <c r="C22">
        <v>4</v>
      </c>
      <c r="D22">
        <v>0.5694444444444444</v>
      </c>
      <c r="E22">
        <v>5</v>
      </c>
      <c r="F22">
        <v>0.6006944444444444</v>
      </c>
      <c r="G22">
        <v>5</v>
      </c>
      <c r="H22">
        <v>0.6006944444444444</v>
      </c>
      <c r="I22">
        <v>6</v>
      </c>
      <c r="J22">
        <v>0.6354166666666666</v>
      </c>
      <c r="K22">
        <v>6</v>
      </c>
      <c r="L22">
        <v>0.6354166666666666</v>
      </c>
      <c r="M22">
        <v>6</v>
      </c>
      <c r="N22">
        <v>0.6354166666666666</v>
      </c>
      <c r="P22" t="str">
        <v>○</v>
      </c>
      <c r="Q22" t="str">
        <v>ふくしま学力調査(4～6年：国1、算1、学1)、クラブ活動（上：ク1)</v>
      </c>
    </row>
    <row r="23">
      <c r="A23">
        <v>20</v>
      </c>
      <c r="B23" t="str">
        <v>水</v>
      </c>
      <c r="C23">
        <v>4</v>
      </c>
      <c r="D23">
        <v>0.6180555555555556</v>
      </c>
      <c r="E23">
        <v>4</v>
      </c>
      <c r="F23">
        <v>0.6180555555555556</v>
      </c>
      <c r="G23">
        <v>6</v>
      </c>
      <c r="H23">
        <v>0.6527777777777778</v>
      </c>
      <c r="I23">
        <v>6</v>
      </c>
      <c r="J23">
        <v>0.6527777777777778</v>
      </c>
      <c r="K23">
        <v>6</v>
      </c>
      <c r="L23">
        <v>0.6527777777777778</v>
      </c>
      <c r="M23">
        <v>6</v>
      </c>
      <c r="N23">
        <v>0.6527777777777778</v>
      </c>
      <c r="P23" t="str">
        <v>○</v>
      </c>
      <c r="Q23" t="str">
        <v>QUテスト1(低：欠1、3～6年：業間)</v>
      </c>
    </row>
    <row r="24">
      <c r="A24">
        <v>21</v>
      </c>
      <c r="B24" t="str">
        <v>木</v>
      </c>
      <c r="C24">
        <v>4</v>
      </c>
      <c r="D24">
        <v>0.5416666666666666</v>
      </c>
      <c r="E24">
        <v>5</v>
      </c>
      <c r="F24">
        <v>0.5833333333333334</v>
      </c>
      <c r="G24">
        <v>5</v>
      </c>
      <c r="H24">
        <v>0.5833333333333334</v>
      </c>
      <c r="I24">
        <v>5</v>
      </c>
      <c r="J24">
        <v>0.5833333333333334</v>
      </c>
      <c r="K24">
        <v>5</v>
      </c>
      <c r="L24">
        <v>0.5833333333333334</v>
      </c>
      <c r="M24">
        <v>5</v>
      </c>
      <c r="N24">
        <v>0.5833333333333334</v>
      </c>
      <c r="O24" t="str">
        <v>短縮</v>
      </c>
      <c r="P24" t="str">
        <v>○</v>
      </c>
      <c r="Q24" t="str">
        <v>【短】職員会議、歯科検診8:30～（全：行１）、尿検査</v>
      </c>
    </row>
    <row r="25" xml:space="preserve">
      <c r="A25">
        <v>22</v>
      </c>
      <c r="B25" t="str">
        <v>金</v>
      </c>
      <c r="C25">
        <v>5</v>
      </c>
      <c r="D25">
        <v>0.6180555555555556</v>
      </c>
      <c r="E25">
        <v>5</v>
      </c>
      <c r="F25">
        <v>0.6180555555555556</v>
      </c>
      <c r="G25">
        <v>5</v>
      </c>
      <c r="H25">
        <v>0.6180555555555556</v>
      </c>
      <c r="I25">
        <v>5</v>
      </c>
      <c r="J25">
        <v>0.6180555555555556</v>
      </c>
      <c r="K25">
        <v>6</v>
      </c>
      <c r="L25">
        <v>0.6527777777777778</v>
      </c>
      <c r="M25">
        <v>6</v>
      </c>
      <c r="N25">
        <v>0.6527777777777778</v>
      </c>
      <c r="P25" t="str">
        <v>○</v>
      </c>
      <c r="Q25" t="str" xml:space="preserve">
        <v xml:space="preserve">プール清掃（教1）⑤6年、⑥5年、尿検査一次予備日_x000d_
※6月時間割提出</v>
      </c>
    </row>
    <row r="26">
      <c r="A26">
        <v>23</v>
      </c>
      <c r="B26" t="str">
        <v>土</v>
      </c>
    </row>
    <row r="27">
      <c r="A27">
        <v>24</v>
      </c>
      <c r="B27" t="str">
        <v>日</v>
      </c>
    </row>
    <row r="28" xml:space="preserve">
      <c r="A28">
        <v>25</v>
      </c>
      <c r="B28" t="str">
        <v>月</v>
      </c>
      <c r="C28">
        <v>4</v>
      </c>
      <c r="D28">
        <v>0.5868055555555556</v>
      </c>
      <c r="E28">
        <v>5</v>
      </c>
      <c r="F28">
        <v>0.6180555555555556</v>
      </c>
      <c r="G28">
        <v>5</v>
      </c>
      <c r="H28">
        <v>0.6180555555555556</v>
      </c>
      <c r="I28">
        <v>6</v>
      </c>
      <c r="J28">
        <v>0.6527777777777778</v>
      </c>
      <c r="K28">
        <v>6</v>
      </c>
      <c r="L28">
        <v>0.6527777777777778</v>
      </c>
      <c r="M28">
        <v>6</v>
      </c>
      <c r="N28">
        <v>0.6527777777777778</v>
      </c>
      <c r="P28" t="str">
        <v>○</v>
      </c>
      <c r="Q28" t="str" xml:space="preserve">
        <v xml:space="preserve">全校集会（南達陸上選手を励ます会）_x000d_
※口座振替日２</v>
      </c>
    </row>
    <row r="29">
      <c r="A29">
        <v>26</v>
      </c>
      <c r="B29" t="str">
        <v>火</v>
      </c>
      <c r="C29">
        <v>5</v>
      </c>
      <c r="D29">
        <v>0.6006944444444444</v>
      </c>
      <c r="E29">
        <v>5</v>
      </c>
      <c r="F29">
        <v>0.6006944444444444</v>
      </c>
      <c r="G29">
        <v>5</v>
      </c>
      <c r="H29">
        <v>0.6006944444444444</v>
      </c>
      <c r="I29">
        <v>6</v>
      </c>
      <c r="J29">
        <v>0.6354166666666666</v>
      </c>
      <c r="K29">
        <v>6</v>
      </c>
      <c r="L29">
        <v>0.6354166666666666</v>
      </c>
      <c r="M29">
        <v>6</v>
      </c>
      <c r="N29">
        <v>0.6354166666666666</v>
      </c>
      <c r="P29" t="str">
        <v>○</v>
      </c>
      <c r="Q29" t="str">
        <v>食に関する授業②③（1年：学）</v>
      </c>
    </row>
    <row r="30">
      <c r="A30">
        <v>27</v>
      </c>
      <c r="B30" t="str">
        <v>水</v>
      </c>
      <c r="C30">
        <v>5</v>
      </c>
      <c r="D30">
        <v>0.6180555555555556</v>
      </c>
      <c r="E30">
        <v>5</v>
      </c>
      <c r="F30">
        <v>0.6180555555555556</v>
      </c>
      <c r="G30">
        <v>5</v>
      </c>
      <c r="H30">
        <v>0.6180555555555556</v>
      </c>
      <c r="I30">
        <v>5</v>
      </c>
      <c r="J30">
        <v>0.6180555555555556</v>
      </c>
      <c r="K30">
        <v>5</v>
      </c>
      <c r="L30">
        <v>0.6180555555555556</v>
      </c>
      <c r="M30" t="str">
        <v>①</v>
      </c>
      <c r="N30">
        <v>0.6180555555555556</v>
      </c>
      <c r="P30" t="str">
        <v>弁</v>
      </c>
      <c r="Q30" t="str">
        <v>南達方部小学校交歓陸上競技大会(6年：行①)、弁当日</v>
      </c>
    </row>
    <row r="31">
      <c r="A31">
        <v>28</v>
      </c>
      <c r="B31" t="str">
        <v>木</v>
      </c>
      <c r="C31">
        <v>4</v>
      </c>
      <c r="D31">
        <v>0.5694444444444444</v>
      </c>
      <c r="E31">
        <v>5</v>
      </c>
      <c r="F31">
        <v>0.6006944444444444</v>
      </c>
      <c r="G31">
        <v>6</v>
      </c>
      <c r="H31">
        <v>0.6354166666666666</v>
      </c>
      <c r="I31">
        <v>6</v>
      </c>
      <c r="J31">
        <v>0.6354166666666666</v>
      </c>
      <c r="K31">
        <v>6</v>
      </c>
      <c r="L31">
        <v>0.6354166666666666</v>
      </c>
      <c r="M31">
        <v>6</v>
      </c>
      <c r="N31">
        <v>0.6354166666666666</v>
      </c>
      <c r="P31" t="str">
        <v>○</v>
      </c>
      <c r="Q31" t="str">
        <v>救急救命法講習会15:25～16:25</v>
      </c>
    </row>
    <row r="32" xml:space="preserve">
      <c r="A32">
        <v>29</v>
      </c>
      <c r="B32" t="str">
        <v>金</v>
      </c>
      <c r="C32">
        <v>5</v>
      </c>
      <c r="D32">
        <v>0.6180555555555556</v>
      </c>
      <c r="E32">
        <v>5</v>
      </c>
      <c r="F32">
        <v>0.6180555555555556</v>
      </c>
      <c r="G32">
        <v>5</v>
      </c>
      <c r="H32">
        <v>0.6180555555555556</v>
      </c>
      <c r="I32">
        <v>5</v>
      </c>
      <c r="J32">
        <v>0.6180555555555556</v>
      </c>
      <c r="K32">
        <v>5</v>
      </c>
      <c r="L32">
        <v>0.6180555555555556</v>
      </c>
      <c r="M32">
        <v>5</v>
      </c>
      <c r="N32">
        <v>0.6180555555555556</v>
      </c>
      <c r="P32" t="str">
        <v>弁</v>
      </c>
      <c r="Q32" t="str" xml:space="preserve">
        <v xml:space="preserve">南達方部小学校交歓陸上競技大会予備日、弁当日_x000d_
※月末統計</v>
      </c>
    </row>
    <row r="33">
      <c r="A33">
        <v>30</v>
      </c>
      <c r="B33" t="str">
        <v>土</v>
      </c>
    </row>
    <row r="34">
      <c r="A34">
        <v>31</v>
      </c>
      <c r="B34" t="str">
        <v>日</v>
      </c>
    </row>
    <row r="35" xml:space="preserve">
      <c r="A35" t="str">
        <v>留意点</v>
      </c>
      <c r="B35" t="str" xml:space="preserve">
        <v xml:space="preserve">○5/1(金)は、5・6年生は運動会係児童打ち合わせのため、下校時刻が15:30になります。_x000d_
○5/8(金)は、5・6年生は運動会準備作業のため、下校時刻が15:00になります。_x000d_
○5/12(火)は、2・4・6年生は知能検査のため、欠課1となります。_x000d_
　下校時刻が、2年生は14:25、4・6年生が15:15となります。_x000d_
○5/20(水)は、1・2年生はQUテストのため、欠課1となります(3～6年生は業間に行うため、欠課にはなりません)。_x000d_
　下校時刻が、1・2年生は14:50となります。_x000d_
○南達陸上の現地練習のため、５／１９（火）のクラブ活動は、６／３０（火）に移動します。４～６年生は、教科＋１で入れてください。</v>
      </c>
    </row>
    <row r="36">
      <c r="B36" t="str">
        <f>E2</f>
        <v>5月</v>
      </c>
      <c r="C36" t="str">
        <v>月</v>
      </c>
      <c r="D36" t="str">
        <v>実施時数予定</v>
      </c>
    </row>
    <row r="37">
      <c r="C37" t="str">
        <v>１年</v>
      </c>
      <c r="E37" t="str">
        <v>２年</v>
      </c>
      <c r="G37" t="str">
        <v>３年</v>
      </c>
      <c r="I37" t="str">
        <v>４年</v>
      </c>
      <c r="K37" t="str">
        <v>５年</v>
      </c>
      <c r="M37" t="str">
        <v>６年</v>
      </c>
      <c r="O37" t="str">
        <v>Ｍ時数</v>
      </c>
      <c r="P37" t="str">
        <v>食数</v>
      </c>
    </row>
    <row r="38">
      <c r="A38" t="str">
        <v>実施できる時数</v>
      </c>
      <c r="C38">
        <f>SUM(C4:C34)</f>
        <v>73</v>
      </c>
      <c r="E38">
        <f>SUM(E4:E34)+O38</f>
        <v>83</v>
      </c>
      <c r="G38">
        <f>SUM(G4:G34)+O38</f>
        <v>89</v>
      </c>
      <c r="I38">
        <f>SUM(I4:I34)+O38</f>
        <v>92</v>
      </c>
      <c r="K38">
        <f>SUM(K4:K34)+O38</f>
        <v>94</v>
      </c>
      <c r="M38">
        <f>SUM(M4:M34)+O38</f>
        <v>88</v>
      </c>
      <c r="P38">
        <f>COUNTIF(P4:P34,"○")</f>
        <v>15</v>
      </c>
    </row>
    <row r="39">
      <c r="A39" t="str">
        <v>計画された時数</v>
      </c>
      <c r="C39">
        <v>73</v>
      </c>
      <c r="E39">
        <v>83</v>
      </c>
      <c r="G39">
        <v>89</v>
      </c>
      <c r="I39">
        <v>91</v>
      </c>
      <c r="K39">
        <v>93</v>
      </c>
      <c r="M39">
        <v>87</v>
      </c>
    </row>
    <row r="40">
      <c r="A40" t="str">
        <v>余剰時数</v>
      </c>
      <c r="C40">
        <f>C38-C39</f>
        <v>0</v>
      </c>
      <c r="E40">
        <f>E38-E39</f>
        <v>0</v>
      </c>
      <c r="G40">
        <f>G38-G39</f>
        <v>0</v>
      </c>
      <c r="I40">
        <f>I38-I39</f>
        <v>1</v>
      </c>
      <c r="K40">
        <f>K38-K39</f>
        <v>1</v>
      </c>
      <c r="M40">
        <f>M38-M39</f>
        <v>1</v>
      </c>
    </row>
    <row r="41">
      <c r="Q41">
        <v>3</v>
      </c>
    </row>
  </sheetData>
  <mergeCells count="47">
    <mergeCell ref="M39:N39"/>
    <mergeCell ref="A40:B40"/>
    <mergeCell ref="C40:D40"/>
    <mergeCell ref="E40:F40"/>
    <mergeCell ref="G40:H40"/>
    <mergeCell ref="I40:J40"/>
    <mergeCell ref="K40:L40"/>
    <mergeCell ref="M40:N40"/>
    <mergeCell ref="A39:B39"/>
    <mergeCell ref="C39:D39"/>
    <mergeCell ref="E39:F39"/>
    <mergeCell ref="G39:H39"/>
    <mergeCell ref="I39:J39"/>
    <mergeCell ref="K39:L39"/>
    <mergeCell ref="M37:N37"/>
    <mergeCell ref="R37:W37"/>
    <mergeCell ref="A38:B38"/>
    <mergeCell ref="C38:D38"/>
    <mergeCell ref="E38:F38"/>
    <mergeCell ref="G38:H38"/>
    <mergeCell ref="I38:J38"/>
    <mergeCell ref="K38:L38"/>
    <mergeCell ref="M38:N38"/>
    <mergeCell ref="A37:B37"/>
    <mergeCell ref="C37:D37"/>
    <mergeCell ref="E37:F37"/>
    <mergeCell ref="G37:H37"/>
    <mergeCell ref="I37:J37"/>
    <mergeCell ref="K37:L37"/>
    <mergeCell ref="R9:W9"/>
    <mergeCell ref="R16:W16"/>
    <mergeCell ref="R22:W22"/>
    <mergeCell ref="R30:W30"/>
    <mergeCell ref="B35:Q35"/>
    <mergeCell ref="D36:G36"/>
    <mergeCell ref="C3:D3"/>
    <mergeCell ref="E3:F3"/>
    <mergeCell ref="G3:H3"/>
    <mergeCell ref="I3:J3"/>
    <mergeCell ref="R2:W2"/>
    <mergeCell ref="K3:L3"/>
    <mergeCell ref="M3:N3"/>
    <mergeCell ref="A1:D1"/>
    <mergeCell ref="P1:Q1"/>
    <mergeCell ref="A2:D2"/>
    <mergeCell ref="E2:F2"/>
    <mergeCell ref="G2:P2"/>
  </mergeCells>
  <pageMargins left="0.4724409448818898" right="0.4724409448818898" top="0.3937007874015748" bottom="0.4330708661417323" header="0.31496062992125984" footer="0.31496062992125984"/>
  <ignoredErrors>
    <ignoredError numberStoredAsText="1" sqref="A1:W44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W44"/>
  <sheetViews>
    <sheetView workbookViewId="0" rightToLeft="0"/>
  </sheetViews>
  <sheetData>
    <row r="2">
      <c r="A2" t="str">
        <v>令和８年度</v>
      </c>
      <c r="E2" t="str">
        <v>5月</v>
      </c>
      <c r="G2" t="str">
        <v>授業時数･下校予定時刻一覧表(4/24版)</v>
      </c>
      <c r="Q2" t="str">
        <v>本宮市立本宮まゆみ小学校</v>
      </c>
    </row>
    <row r="3">
      <c r="A3" t="str">
        <v>日</v>
      </c>
      <c r="B3" t="str">
        <v>曜</v>
      </c>
      <c r="C3" t="str">
        <v>１学年</v>
      </c>
      <c r="E3" t="str">
        <v>２学年</v>
      </c>
      <c r="G3" t="str">
        <v>３学年</v>
      </c>
      <c r="I3" t="str">
        <v>４学年</v>
      </c>
      <c r="K3" t="str">
        <v>５学年</v>
      </c>
      <c r="M3" t="str">
        <v>６学年</v>
      </c>
      <c r="O3" t="str">
        <v>特別日程</v>
      </c>
      <c r="P3" t="str">
        <v>給食</v>
      </c>
      <c r="Q3" t="str">
        <v>行　　事　　等</v>
      </c>
    </row>
    <row r="4">
      <c r="A4">
        <v>1</v>
      </c>
      <c r="B4" t="str">
        <v>金</v>
      </c>
      <c r="C4">
        <v>4</v>
      </c>
      <c r="D4">
        <v>0.5520833333333334</v>
      </c>
      <c r="E4">
        <v>5</v>
      </c>
      <c r="F4">
        <v>0.6180555555555556</v>
      </c>
      <c r="G4">
        <v>5</v>
      </c>
      <c r="H4">
        <v>0.6180555555555556</v>
      </c>
      <c r="I4">
        <v>5</v>
      </c>
      <c r="J4">
        <v>0.6180555555555556</v>
      </c>
      <c r="K4">
        <v>5</v>
      </c>
      <c r="L4">
        <v>0.6527777777777778</v>
      </c>
      <c r="M4">
        <v>5</v>
      </c>
      <c r="N4">
        <v>0.6527777777777778</v>
      </c>
      <c r="P4" t="str">
        <v>○</v>
      </c>
      <c r="Q4" t="str">
        <v>運動会係児童打ち合わせ15:00～15:30(高)、安全点検、防火診断１</v>
      </c>
    </row>
    <row r="5">
      <c r="A5">
        <v>2</v>
      </c>
      <c r="B5" t="str">
        <v>土</v>
      </c>
    </row>
    <row r="6">
      <c r="A6">
        <v>3</v>
      </c>
      <c r="B6" t="str">
        <v>日</v>
      </c>
      <c r="Q6" t="str">
        <v xml:space="preserve">　　　　　　　憲法記念日</v>
      </c>
    </row>
    <row r="7">
      <c r="A7">
        <v>4</v>
      </c>
      <c r="B7" t="str">
        <v>月</v>
      </c>
      <c r="Q7" t="str">
        <v xml:space="preserve">　　　　　　　みどりの日</v>
      </c>
    </row>
    <row r="8">
      <c r="A8">
        <v>5</v>
      </c>
      <c r="B8" t="str">
        <v>火</v>
      </c>
      <c r="Q8" t="str">
        <v xml:space="preserve">　　　　　　　こどもの日</v>
      </c>
    </row>
    <row r="9">
      <c r="A9">
        <v>6</v>
      </c>
      <c r="B9" t="str">
        <v>水</v>
      </c>
      <c r="Q9" t="str">
        <v>振替休日</v>
      </c>
    </row>
    <row r="10" xml:space="preserve">
      <c r="A10">
        <v>7</v>
      </c>
      <c r="B10" t="str">
        <v>木</v>
      </c>
      <c r="C10">
        <v>4</v>
      </c>
      <c r="D10">
        <v>0.5520833333333334</v>
      </c>
      <c r="E10">
        <v>5</v>
      </c>
      <c r="F10">
        <v>0.6006944444444444</v>
      </c>
      <c r="G10">
        <v>6</v>
      </c>
      <c r="H10">
        <v>0.6354166666666666</v>
      </c>
      <c r="I10">
        <v>6</v>
      </c>
      <c r="J10">
        <v>0.6354166666666666</v>
      </c>
      <c r="K10">
        <v>6</v>
      </c>
      <c r="L10">
        <v>0.6354166666666666</v>
      </c>
      <c r="M10">
        <v>6</v>
      </c>
      <c r="N10">
        <v>0.6354166666666666</v>
      </c>
      <c r="P10" t="str">
        <v>○</v>
      </c>
      <c r="Q10" t="str" xml:space="preserve">
        <v xml:space="preserve">心電図検査9:00～(1・4年：行1)_x000d_
※4月月案反省提出</v>
      </c>
    </row>
    <row r="11" xml:space="preserve">
      <c r="A11">
        <v>8</v>
      </c>
      <c r="B11" t="str">
        <v>金</v>
      </c>
      <c r="C11">
        <v>4</v>
      </c>
      <c r="D11">
        <v>0.5416666666666666</v>
      </c>
      <c r="E11">
        <v>5</v>
      </c>
      <c r="F11">
        <v>0.5833333333333334</v>
      </c>
      <c r="G11">
        <v>5</v>
      </c>
      <c r="H11">
        <v>0.5833333333333334</v>
      </c>
      <c r="I11">
        <v>5</v>
      </c>
      <c r="J11">
        <v>0.5833333333333334</v>
      </c>
      <c r="K11">
        <v>5</v>
      </c>
      <c r="L11">
        <v>0.6319444444444444</v>
      </c>
      <c r="M11">
        <v>5</v>
      </c>
      <c r="N11">
        <v>0.6319444444444444</v>
      </c>
      <c r="O11" t="str">
        <v>短縮</v>
      </c>
      <c r="P11" t="str">
        <v>○</v>
      </c>
      <c r="Q11" t="str" xml:space="preserve">
        <v xml:space="preserve">【短】運動会全体練習2②（全：体1）、_x000d_
運動会準備作業(高：欠1)14:15～15:00</v>
      </c>
    </row>
    <row r="12">
      <c r="A12">
        <v>9</v>
      </c>
      <c r="B12" t="str">
        <v>土</v>
      </c>
      <c r="C12" t="str">
        <v>①</v>
      </c>
      <c r="D12">
        <v>0.5</v>
      </c>
      <c r="E12" t="str">
        <v>①</v>
      </c>
      <c r="F12">
        <v>0.5</v>
      </c>
      <c r="G12" t="str">
        <v>①</v>
      </c>
      <c r="H12">
        <v>0.5</v>
      </c>
      <c r="I12" t="str">
        <v>①</v>
      </c>
      <c r="J12">
        <v>0.5</v>
      </c>
      <c r="K12" t="str">
        <v>①</v>
      </c>
      <c r="L12">
        <v>0.5</v>
      </c>
      <c r="M12" t="str">
        <v>①</v>
      </c>
      <c r="N12">
        <v>0.5</v>
      </c>
      <c r="P12" t="str">
        <v>×</v>
      </c>
      <c r="Q12" t="str">
        <v>運動会</v>
      </c>
    </row>
    <row r="13">
      <c r="A13">
        <v>10</v>
      </c>
      <c r="B13" t="str">
        <v>日</v>
      </c>
      <c r="Q13" t="str">
        <v>運動会予備日</v>
      </c>
    </row>
    <row r="14">
      <c r="A14">
        <v>11</v>
      </c>
      <c r="B14" t="str">
        <v>月</v>
      </c>
      <c r="Q14" t="str">
        <v>繰替休業日</v>
      </c>
    </row>
    <row r="15" xml:space="preserve">
      <c r="A15">
        <v>12</v>
      </c>
      <c r="B15" t="str">
        <v>火</v>
      </c>
      <c r="C15">
        <v>4</v>
      </c>
      <c r="D15">
        <v>0.5520833333333334</v>
      </c>
      <c r="E15">
        <v>4</v>
      </c>
      <c r="F15">
        <v>0.6006944444444444</v>
      </c>
      <c r="G15">
        <v>5</v>
      </c>
      <c r="H15">
        <v>0.6006944444444444</v>
      </c>
      <c r="I15">
        <v>5</v>
      </c>
      <c r="J15">
        <v>0.6354166666666666</v>
      </c>
      <c r="K15">
        <v>6</v>
      </c>
      <c r="L15">
        <v>0.6666666666666666</v>
      </c>
      <c r="M15">
        <v>5</v>
      </c>
      <c r="N15" t="str" xml:space="preserve">
        <v xml:space="preserve">16:00_x000d_
16:30(リ)</v>
      </c>
      <c r="P15" t="str">
        <v>○</v>
      </c>
      <c r="Q15" t="str" xml:space="preserve">
        <v xml:space="preserve">知能検査（2・4・6年：欠1）、登校班長会議_x000d_
※口座振替日1</v>
      </c>
    </row>
    <row r="16">
      <c r="A16">
        <v>13</v>
      </c>
      <c r="B16" t="str">
        <v>水</v>
      </c>
      <c r="C16">
        <v>4</v>
      </c>
      <c r="D16">
        <v>0.5520833333333334</v>
      </c>
      <c r="E16">
        <v>5</v>
      </c>
      <c r="F16">
        <v>0.6180555555555556</v>
      </c>
      <c r="G16">
        <v>5</v>
      </c>
      <c r="H16">
        <v>0.6180555555555556</v>
      </c>
      <c r="I16">
        <v>5</v>
      </c>
      <c r="J16">
        <v>0.6180555555555556</v>
      </c>
      <c r="K16">
        <v>5</v>
      </c>
      <c r="L16">
        <v>0.6180555555555556</v>
      </c>
      <c r="M16">
        <v>5</v>
      </c>
      <c r="N16">
        <v>0.6180555555555556</v>
      </c>
      <c r="P16" t="str">
        <v>○</v>
      </c>
      <c r="Q16" t="str">
        <v>市小学校鼓笛パレード(高：教2行2)</v>
      </c>
    </row>
    <row r="17">
      <c r="A17">
        <v>14</v>
      </c>
      <c r="B17" t="str">
        <v>木</v>
      </c>
      <c r="C17">
        <v>4</v>
      </c>
      <c r="D17">
        <v>0.5520833333333334</v>
      </c>
      <c r="E17">
        <v>5</v>
      </c>
      <c r="F17">
        <v>0.6006944444444444</v>
      </c>
      <c r="G17">
        <v>6</v>
      </c>
      <c r="H17">
        <v>0.6354166666666666</v>
      </c>
      <c r="I17">
        <v>6</v>
      </c>
      <c r="J17">
        <v>0.6354166666666666</v>
      </c>
      <c r="K17">
        <v>6</v>
      </c>
      <c r="L17">
        <v>0.6666666666666666</v>
      </c>
      <c r="M17">
        <v>6</v>
      </c>
      <c r="N17">
        <v>0.6666666666666666</v>
      </c>
      <c r="P17" t="str">
        <v>○</v>
      </c>
      <c r="Q17" t="str">
        <v>市小学校鼓笛パレード予備日</v>
      </c>
    </row>
    <row r="18">
      <c r="A18">
        <v>15</v>
      </c>
      <c r="B18" t="str">
        <v>金</v>
      </c>
      <c r="C18">
        <v>5</v>
      </c>
      <c r="D18">
        <v>0.6180555555555556</v>
      </c>
      <c r="E18">
        <v>5</v>
      </c>
      <c r="F18">
        <v>0.6180555555555556</v>
      </c>
      <c r="G18">
        <v>5</v>
      </c>
      <c r="H18">
        <v>0.6180555555555556</v>
      </c>
      <c r="I18">
        <v>5</v>
      </c>
      <c r="J18">
        <v>0.6180555555555556</v>
      </c>
      <c r="K18">
        <v>5</v>
      </c>
      <c r="L18">
        <v>0.6180555555555556</v>
      </c>
      <c r="M18">
        <v>5</v>
      </c>
      <c r="N18">
        <v>0.6180555555555556</v>
      </c>
      <c r="P18" t="str">
        <v>○</v>
      </c>
      <c r="Q18" t="str">
        <v>鑑賞教室③④(教1行1)、校内就学指導委員会1</v>
      </c>
    </row>
    <row r="19">
      <c r="A19">
        <v>16</v>
      </c>
      <c r="B19" t="str">
        <v>土</v>
      </c>
    </row>
    <row r="20">
      <c r="A20">
        <v>17</v>
      </c>
      <c r="B20" t="str">
        <v>日</v>
      </c>
    </row>
    <row r="21">
      <c r="A21">
        <v>18</v>
      </c>
      <c r="B21" t="str">
        <v>月</v>
      </c>
      <c r="C21">
        <v>4</v>
      </c>
      <c r="D21">
        <v>0.5868055555555556</v>
      </c>
      <c r="E21">
        <v>5</v>
      </c>
      <c r="F21">
        <v>0.6180555555555556</v>
      </c>
      <c r="G21">
        <v>5</v>
      </c>
      <c r="H21">
        <v>0.6180555555555556</v>
      </c>
      <c r="I21">
        <v>5</v>
      </c>
      <c r="J21">
        <v>0.6458333333333334</v>
      </c>
      <c r="K21">
        <v>5</v>
      </c>
      <c r="L21">
        <v>0.6666666666666666</v>
      </c>
      <c r="M21">
        <v>5</v>
      </c>
      <c r="N21">
        <v>0.6666666666666666</v>
      </c>
      <c r="P21" t="str">
        <v>○</v>
      </c>
      <c r="Q21" t="str">
        <v>租税教室②③(6年：社1)、1年生清掃開始、児童会活動日</v>
      </c>
    </row>
    <row r="22">
      <c r="A22">
        <v>19</v>
      </c>
      <c r="B22" t="str">
        <v>火</v>
      </c>
      <c r="C22">
        <v>4</v>
      </c>
      <c r="D22">
        <v>0.5694444444444444</v>
      </c>
      <c r="E22">
        <v>5</v>
      </c>
      <c r="F22">
        <v>0.6006944444444444</v>
      </c>
      <c r="G22">
        <v>5</v>
      </c>
      <c r="H22">
        <v>0.6006944444444444</v>
      </c>
      <c r="I22">
        <v>6</v>
      </c>
      <c r="J22">
        <v>0.6354166666666666</v>
      </c>
      <c r="K22">
        <v>6</v>
      </c>
      <c r="L22">
        <v>0.6666666666666666</v>
      </c>
      <c r="M22">
        <v>6</v>
      </c>
      <c r="N22">
        <v>0.6666666666666666</v>
      </c>
      <c r="P22" t="str">
        <v>○</v>
      </c>
      <c r="Q22" t="str">
        <v>ふくしま学力調査(4～6年：国1、算1、学1)、クラブ活動（上：ク1)</v>
      </c>
    </row>
    <row r="23">
      <c r="A23">
        <v>20</v>
      </c>
      <c r="B23" t="str">
        <v>水</v>
      </c>
      <c r="C23">
        <v>4</v>
      </c>
      <c r="D23">
        <v>0.6180555555555556</v>
      </c>
      <c r="E23">
        <v>4</v>
      </c>
      <c r="F23">
        <v>0.6180555555555556</v>
      </c>
      <c r="G23">
        <v>6</v>
      </c>
      <c r="H23">
        <v>0.6527777777777778</v>
      </c>
      <c r="I23">
        <v>6</v>
      </c>
      <c r="J23">
        <v>0.6527777777777778</v>
      </c>
      <c r="K23">
        <v>6</v>
      </c>
      <c r="L23">
        <v>0.6666666666666666</v>
      </c>
      <c r="M23">
        <v>6</v>
      </c>
      <c r="N23">
        <v>0.6666666666666666</v>
      </c>
      <c r="P23" t="str">
        <v>○</v>
      </c>
      <c r="Q23" t="str">
        <v>QUテスト1(低：欠1、3～6年：業間)</v>
      </c>
    </row>
    <row r="24">
      <c r="A24">
        <v>21</v>
      </c>
      <c r="B24" t="str">
        <v>木</v>
      </c>
      <c r="C24">
        <v>4</v>
      </c>
      <c r="D24">
        <v>0.5416666666666666</v>
      </c>
      <c r="E24">
        <v>5</v>
      </c>
      <c r="F24">
        <v>0.5833333333333334</v>
      </c>
      <c r="G24">
        <v>5</v>
      </c>
      <c r="H24">
        <v>0.5833333333333334</v>
      </c>
      <c r="I24">
        <v>5</v>
      </c>
      <c r="J24">
        <v>0.5833333333333334</v>
      </c>
      <c r="K24">
        <v>5</v>
      </c>
      <c r="L24">
        <v>0.5833333333333334</v>
      </c>
      <c r="M24">
        <v>5</v>
      </c>
      <c r="N24">
        <v>0.5833333333333334</v>
      </c>
      <c r="O24" t="str">
        <v>短縮</v>
      </c>
      <c r="P24" t="str">
        <v>○</v>
      </c>
      <c r="Q24" t="str">
        <v>【短】職員会議、歯科検診8:30～（全：行１）、尿検査</v>
      </c>
    </row>
    <row r="25" xml:space="preserve">
      <c r="A25">
        <v>22</v>
      </c>
      <c r="B25" t="str">
        <v>金</v>
      </c>
      <c r="C25">
        <v>5</v>
      </c>
      <c r="D25">
        <v>0.6180555555555556</v>
      </c>
      <c r="E25">
        <v>5</v>
      </c>
      <c r="F25">
        <v>0.6180555555555556</v>
      </c>
      <c r="G25">
        <v>5</v>
      </c>
      <c r="H25">
        <v>0.6180555555555556</v>
      </c>
      <c r="I25">
        <v>5</v>
      </c>
      <c r="J25">
        <v>0.6180555555555556</v>
      </c>
      <c r="K25">
        <v>6</v>
      </c>
      <c r="L25">
        <v>0.6527777777777778</v>
      </c>
      <c r="M25">
        <v>6</v>
      </c>
      <c r="N25">
        <v>0.6527777777777778</v>
      </c>
      <c r="P25" t="str">
        <v>○</v>
      </c>
      <c r="Q25" t="str" xml:space="preserve">
        <v xml:space="preserve">プール清掃（教1）⑤6年、⑥5年、尿検査一次予備日_x000d_
※6月時間割提出</v>
      </c>
    </row>
    <row r="26">
      <c r="A26">
        <v>23</v>
      </c>
      <c r="B26" t="str">
        <v>土</v>
      </c>
    </row>
    <row r="27">
      <c r="A27">
        <v>24</v>
      </c>
      <c r="B27" t="str">
        <v>日</v>
      </c>
    </row>
    <row r="28" xml:space="preserve">
      <c r="A28">
        <v>25</v>
      </c>
      <c r="B28" t="str">
        <v>月</v>
      </c>
      <c r="C28">
        <v>4</v>
      </c>
      <c r="D28">
        <v>0.5868055555555556</v>
      </c>
      <c r="E28">
        <v>5</v>
      </c>
      <c r="F28">
        <v>0.6180555555555556</v>
      </c>
      <c r="G28">
        <v>5</v>
      </c>
      <c r="H28">
        <v>0.6180555555555556</v>
      </c>
      <c r="I28">
        <v>6</v>
      </c>
      <c r="J28">
        <v>0.6527777777777778</v>
      </c>
      <c r="K28">
        <v>6</v>
      </c>
      <c r="L28">
        <v>0.6666666666666666</v>
      </c>
      <c r="M28">
        <v>6</v>
      </c>
      <c r="N28">
        <v>0.6666666666666666</v>
      </c>
      <c r="P28" t="str">
        <v>○</v>
      </c>
      <c r="Q28" t="str" xml:space="preserve">
        <v xml:space="preserve">全校集会（南達陸上選手を励ます会）_x000d_
※口座振替日２</v>
      </c>
    </row>
    <row r="29" xml:space="preserve">
      <c r="A29">
        <v>26</v>
      </c>
      <c r="B29" t="str">
        <v>火</v>
      </c>
      <c r="C29">
        <v>5</v>
      </c>
      <c r="D29">
        <v>0.6006944444444444</v>
      </c>
      <c r="E29">
        <v>5</v>
      </c>
      <c r="F29">
        <v>0.6006944444444444</v>
      </c>
      <c r="G29">
        <v>5</v>
      </c>
      <c r="H29">
        <v>0.6006944444444444</v>
      </c>
      <c r="I29">
        <v>6</v>
      </c>
      <c r="J29">
        <v>0.6354166666666666</v>
      </c>
      <c r="K29">
        <v>6</v>
      </c>
      <c r="L29">
        <v>0.6666666666666666</v>
      </c>
      <c r="M29">
        <v>6</v>
      </c>
      <c r="N29" t="str" xml:space="preserve">
        <v xml:space="preserve">16:00_x000d_
16:30(リ)</v>
      </c>
      <c r="P29" t="str">
        <v>○</v>
      </c>
      <c r="Q29" t="str">
        <v>食に関する授業②③（1年：学）</v>
      </c>
    </row>
    <row r="30">
      <c r="A30">
        <v>27</v>
      </c>
      <c r="B30" t="str">
        <v>水</v>
      </c>
      <c r="C30">
        <v>5</v>
      </c>
      <c r="D30">
        <v>0.6180555555555556</v>
      </c>
      <c r="E30">
        <v>5</v>
      </c>
      <c r="F30">
        <v>0.6180555555555556</v>
      </c>
      <c r="G30">
        <v>5</v>
      </c>
      <c r="H30">
        <v>0.6180555555555556</v>
      </c>
      <c r="I30">
        <v>5</v>
      </c>
      <c r="J30">
        <v>0.6180555555555556</v>
      </c>
      <c r="K30">
        <v>5</v>
      </c>
      <c r="L30">
        <v>0.6180555555555556</v>
      </c>
      <c r="M30" t="str">
        <v>①</v>
      </c>
      <c r="N30">
        <v>0.6180555555555556</v>
      </c>
      <c r="P30" t="str">
        <v>弁</v>
      </c>
      <c r="Q30" t="str">
        <v>南達方部小学校交歓陸上競技大会(6年：行①)、弁当日</v>
      </c>
    </row>
    <row r="31">
      <c r="A31">
        <v>28</v>
      </c>
      <c r="B31" t="str">
        <v>木</v>
      </c>
      <c r="C31">
        <v>4</v>
      </c>
      <c r="D31">
        <v>0.5694444444444444</v>
      </c>
      <c r="E31">
        <v>5</v>
      </c>
      <c r="F31">
        <v>0.6006944444444444</v>
      </c>
      <c r="G31">
        <v>6</v>
      </c>
      <c r="H31">
        <v>0.6354166666666666</v>
      </c>
      <c r="I31">
        <v>6</v>
      </c>
      <c r="J31">
        <v>0.6354166666666666</v>
      </c>
      <c r="K31">
        <v>6</v>
      </c>
      <c r="L31">
        <v>0.6354166666666666</v>
      </c>
      <c r="M31">
        <v>6</v>
      </c>
      <c r="N31">
        <v>0.6354166666666666</v>
      </c>
      <c r="P31" t="str">
        <v>○</v>
      </c>
      <c r="Q31" t="str">
        <v>救急救命法講習会15:25～16:25</v>
      </c>
    </row>
    <row r="32" xml:space="preserve">
      <c r="A32">
        <v>29</v>
      </c>
      <c r="B32" t="str">
        <v>金</v>
      </c>
      <c r="C32">
        <v>5</v>
      </c>
      <c r="D32">
        <v>0.6180555555555556</v>
      </c>
      <c r="E32">
        <v>5</v>
      </c>
      <c r="F32">
        <v>0.6180555555555556</v>
      </c>
      <c r="G32">
        <v>5</v>
      </c>
      <c r="H32">
        <v>0.6180555555555556</v>
      </c>
      <c r="I32">
        <v>5</v>
      </c>
      <c r="J32">
        <v>0.6180555555555556</v>
      </c>
      <c r="K32">
        <v>5</v>
      </c>
      <c r="L32">
        <v>0.6180555555555556</v>
      </c>
      <c r="M32">
        <v>5</v>
      </c>
      <c r="N32">
        <v>0.6180555555555556</v>
      </c>
      <c r="P32" t="str">
        <v>弁</v>
      </c>
      <c r="Q32" t="str" xml:space="preserve">
        <v xml:space="preserve">南達方部小学校交歓陸上競技大会予備日、弁当日_x000d_
※月末統計</v>
      </c>
    </row>
    <row r="33">
      <c r="A33">
        <v>30</v>
      </c>
      <c r="B33" t="str">
        <v>土</v>
      </c>
    </row>
    <row r="34">
      <c r="A34">
        <v>31</v>
      </c>
      <c r="B34" t="str">
        <v>日</v>
      </c>
    </row>
    <row r="35" xml:space="preserve">
      <c r="A35" t="str">
        <v>留意点</v>
      </c>
      <c r="B35" t="str" xml:space="preserve">
        <v xml:space="preserve">○5/1(金)は、5・6年生は運動会係児童打ち合わせのため、下校時刻が15:30になります。_x000d_
○5/8(金)は、5・6年生は運動会準備作業のため、下校時刻が15:00になります。_x000d_
○5/12(火)は、2・4・6年生は知能検査のため、欠課1となります。下校時刻が、2年生は14:25、4・6年生が15:15となります。_x000d_
○5/20(水)は、1・2年生はQUテストのため、欠課1となります(3～6年生は業間に行うため、欠課にはなりません)。_x000d_
　下校時刻が、1・2年生は14:50となります。_x000d_
○南達陸上の現地練習のため、５／１９（火）のクラブ活動は、６／３０（火）に移動します。４～６年生は、教科＋１で入れてください。_x000d_
○南達陸上の放課後練習のため、5/12(火)～5/26(火)の５・６年生の下校時刻を修正しました。</v>
      </c>
    </row>
    <row r="36">
      <c r="B36" t="str">
        <f>E2</f>
        <v>5月</v>
      </c>
      <c r="C36" t="str">
        <v>月</v>
      </c>
      <c r="D36" t="str">
        <v>実施時数予定</v>
      </c>
    </row>
    <row r="37">
      <c r="C37" t="str">
        <v>１年</v>
      </c>
      <c r="E37" t="str">
        <v>２年</v>
      </c>
      <c r="G37" t="str">
        <v>３年</v>
      </c>
      <c r="I37" t="str">
        <v>４年</v>
      </c>
      <c r="K37" t="str">
        <v>５年</v>
      </c>
      <c r="M37" t="str">
        <v>６年</v>
      </c>
      <c r="O37" t="str">
        <v>Ｍ時数</v>
      </c>
      <c r="P37" t="str">
        <v>食数</v>
      </c>
    </row>
    <row r="38">
      <c r="A38" t="str">
        <v>実施できる時数</v>
      </c>
      <c r="C38">
        <f>SUM(C4:C34)</f>
        <v>73</v>
      </c>
      <c r="E38">
        <f>SUM(E4:E34)+O38</f>
        <v>83</v>
      </c>
      <c r="G38">
        <f>SUM(G4:G34)+O38</f>
        <v>89</v>
      </c>
      <c r="I38">
        <f>SUM(I4:I34)+O38</f>
        <v>92</v>
      </c>
      <c r="K38">
        <f>SUM(K4:K34)+O38</f>
        <v>94</v>
      </c>
      <c r="M38">
        <f>SUM(M4:M34)+O38</f>
        <v>88</v>
      </c>
      <c r="P38">
        <f>COUNTIF(P4:P34,"○")</f>
        <v>15</v>
      </c>
    </row>
    <row r="39">
      <c r="A39" t="str">
        <v>計画された時数</v>
      </c>
      <c r="C39">
        <v>73</v>
      </c>
      <c r="E39">
        <v>83</v>
      </c>
      <c r="G39">
        <v>89</v>
      </c>
      <c r="I39">
        <v>91</v>
      </c>
      <c r="K39">
        <v>93</v>
      </c>
      <c r="M39">
        <v>87</v>
      </c>
    </row>
    <row r="40">
      <c r="A40" t="str">
        <v>余剰時数</v>
      </c>
      <c r="C40">
        <f>C38-C39</f>
        <v>0</v>
      </c>
      <c r="E40">
        <f>E38-E39</f>
        <v>0</v>
      </c>
      <c r="G40">
        <f>G38-G39</f>
        <v>0</v>
      </c>
      <c r="I40">
        <f>I38-I39</f>
        <v>1</v>
      </c>
      <c r="K40">
        <f>K38-K39</f>
        <v>1</v>
      </c>
      <c r="M40">
        <f>M38-M39</f>
        <v>1</v>
      </c>
    </row>
    <row r="41">
      <c r="Q41">
        <v>3</v>
      </c>
    </row>
  </sheetData>
  <mergeCells count="47">
    <mergeCell ref="R2:W2"/>
    <mergeCell ref="K3:L3"/>
    <mergeCell ref="M3:N3"/>
    <mergeCell ref="A1:D1"/>
    <mergeCell ref="P1:Q1"/>
    <mergeCell ref="A2:D2"/>
    <mergeCell ref="E2:F2"/>
    <mergeCell ref="G2:P2"/>
    <mergeCell ref="D36:G36"/>
    <mergeCell ref="C3:D3"/>
    <mergeCell ref="E3:F3"/>
    <mergeCell ref="G3:H3"/>
    <mergeCell ref="I3:J3"/>
    <mergeCell ref="R9:W9"/>
    <mergeCell ref="R16:W16"/>
    <mergeCell ref="R22:W22"/>
    <mergeCell ref="R30:W30"/>
    <mergeCell ref="B35:Q35"/>
    <mergeCell ref="M37:N37"/>
    <mergeCell ref="R37:W37"/>
    <mergeCell ref="A38:B38"/>
    <mergeCell ref="C38:D38"/>
    <mergeCell ref="E38:F38"/>
    <mergeCell ref="G38:H38"/>
    <mergeCell ref="I38:J38"/>
    <mergeCell ref="K38:L38"/>
    <mergeCell ref="M38:N38"/>
    <mergeCell ref="A37:B37"/>
    <mergeCell ref="C37:D37"/>
    <mergeCell ref="E37:F37"/>
    <mergeCell ref="G37:H37"/>
    <mergeCell ref="I37:J37"/>
    <mergeCell ref="K37:L37"/>
    <mergeCell ref="M39:N39"/>
    <mergeCell ref="A40:B40"/>
    <mergeCell ref="C40:D40"/>
    <mergeCell ref="E40:F40"/>
    <mergeCell ref="G40:H40"/>
    <mergeCell ref="I40:J40"/>
    <mergeCell ref="K40:L40"/>
    <mergeCell ref="M40:N40"/>
    <mergeCell ref="A39:B39"/>
    <mergeCell ref="C39:D39"/>
    <mergeCell ref="E39:F39"/>
    <mergeCell ref="G39:H39"/>
    <mergeCell ref="I39:J39"/>
    <mergeCell ref="K39:L39"/>
  </mergeCells>
  <pageMargins left="0.4724409448818898" right="0.4724409448818898" top="0.3937007874015748" bottom="0.4330708661417323" header="0.31496062992125984" footer="0.31496062992125984"/>
  <ignoredErrors>
    <ignoredError numberStoredAsText="1" sqref="A1:W44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W41"/>
  <sheetViews>
    <sheetView workbookViewId="0" rightToLeft="0"/>
  </sheetViews>
  <sheetData>
    <row r="2">
      <c r="A2" t="str">
        <v>令和８年度</v>
      </c>
      <c r="F2">
        <v>6</v>
      </c>
      <c r="G2" t="str">
        <v>月</v>
      </c>
      <c r="H2" t="str">
        <v>授業時数･下校予定時刻一覧表</v>
      </c>
      <c r="Q2" t="str">
        <v>本宮市立本宮まゆみ小学校</v>
      </c>
    </row>
    <row r="3">
      <c r="A3" t="str">
        <v>日</v>
      </c>
      <c r="B3" t="str">
        <v>曜</v>
      </c>
      <c r="C3" t="str">
        <v>１学年</v>
      </c>
      <c r="E3" t="str">
        <v>２学年</v>
      </c>
      <c r="G3" t="str">
        <v>３学年</v>
      </c>
      <c r="I3" t="str">
        <v>４学年</v>
      </c>
      <c r="K3" t="str">
        <v>５学年</v>
      </c>
      <c r="M3" t="str">
        <v>６学年</v>
      </c>
      <c r="O3" t="str">
        <v>特別日程</v>
      </c>
      <c r="P3" t="str">
        <v>給食</v>
      </c>
      <c r="Q3" t="str">
        <v>行　　事　　等</v>
      </c>
    </row>
    <row r="4">
      <c r="A4">
        <v>1</v>
      </c>
      <c r="B4" t="str">
        <v>月</v>
      </c>
      <c r="C4">
        <v>4</v>
      </c>
      <c r="D4">
        <v>0.5868055555555556</v>
      </c>
      <c r="E4">
        <v>4</v>
      </c>
      <c r="F4">
        <v>0.5868055555555556</v>
      </c>
      <c r="G4">
        <v>5</v>
      </c>
      <c r="H4">
        <v>0.6180555555555556</v>
      </c>
      <c r="I4">
        <v>6</v>
      </c>
      <c r="J4">
        <v>0.6527777777777778</v>
      </c>
      <c r="K4">
        <v>6</v>
      </c>
      <c r="L4">
        <v>0.6527777777777778</v>
      </c>
      <c r="M4">
        <v>6</v>
      </c>
      <c r="N4">
        <v>0.6527777777777778</v>
      </c>
      <c r="P4" t="str">
        <v>○</v>
      </c>
      <c r="Q4" t="str">
        <v>なかよし班交流タイム２（業間）、安全点検、※５月月案反省提出</v>
      </c>
    </row>
    <row r="5">
      <c r="A5">
        <v>2</v>
      </c>
      <c r="B5" t="str">
        <v>火</v>
      </c>
      <c r="C5">
        <v>5</v>
      </c>
      <c r="D5">
        <v>0.6006944444444444</v>
      </c>
      <c r="E5">
        <v>5</v>
      </c>
      <c r="F5">
        <v>0.6006944444444444</v>
      </c>
      <c r="G5">
        <v>5</v>
      </c>
      <c r="H5">
        <v>0.6006944444444444</v>
      </c>
      <c r="I5">
        <v>5</v>
      </c>
      <c r="J5">
        <v>0.6006944444444444</v>
      </c>
      <c r="K5">
        <v>5</v>
      </c>
      <c r="L5">
        <v>0.6006944444444444</v>
      </c>
      <c r="M5">
        <v>5</v>
      </c>
      <c r="N5">
        <v>0.6006944444444444</v>
      </c>
      <c r="P5" t="str">
        <v>○</v>
      </c>
      <c r="Q5" t="str">
        <v>新体力テスト（高）、尿検査、現職全体授業⑤</v>
      </c>
    </row>
    <row r="6">
      <c r="A6">
        <v>3</v>
      </c>
      <c r="B6" t="str">
        <v>水</v>
      </c>
      <c r="C6">
        <v>4</v>
      </c>
      <c r="D6">
        <v>0.5868055555555556</v>
      </c>
      <c r="E6">
        <v>5</v>
      </c>
      <c r="F6">
        <v>0.6180555555555556</v>
      </c>
      <c r="G6">
        <v>5</v>
      </c>
      <c r="H6">
        <v>0.6180555555555556</v>
      </c>
      <c r="I6">
        <v>6</v>
      </c>
      <c r="J6">
        <v>0.6527777777777778</v>
      </c>
      <c r="K6">
        <v>6</v>
      </c>
      <c r="L6">
        <v>0.6527777777777778</v>
      </c>
      <c r="M6">
        <v>6</v>
      </c>
      <c r="N6">
        <v>0.6527777777777778</v>
      </c>
      <c r="P6" t="str">
        <v>○</v>
      </c>
      <c r="Q6" t="str">
        <v>新体力テスト（低）、内科検診13:30～（まゆさく・1・4・6年）、尿検査予備日</v>
      </c>
    </row>
    <row r="7">
      <c r="A7">
        <v>4</v>
      </c>
      <c r="B7" t="str">
        <v>木</v>
      </c>
      <c r="C7">
        <v>4</v>
      </c>
      <c r="D7">
        <v>0.5694444444444444</v>
      </c>
      <c r="E7">
        <v>5</v>
      </c>
      <c r="F7">
        <v>0.6006944444444444</v>
      </c>
      <c r="G7">
        <v>6</v>
      </c>
      <c r="H7">
        <v>0.6354166666666666</v>
      </c>
      <c r="I7">
        <v>6</v>
      </c>
      <c r="J7">
        <v>0.6354166666666666</v>
      </c>
      <c r="K7">
        <v>6</v>
      </c>
      <c r="L7">
        <v>0.6354166666666666</v>
      </c>
      <c r="M7">
        <v>6</v>
      </c>
      <c r="N7">
        <v>0.6354166666666666</v>
      </c>
      <c r="P7" t="str">
        <v>○</v>
      </c>
      <c r="Q7" t="str">
        <v>新体力テスト（中）、内科検診13:30～（2・3・5年）</v>
      </c>
    </row>
    <row r="8">
      <c r="A8">
        <v>5</v>
      </c>
      <c r="B8" t="str">
        <v>金</v>
      </c>
      <c r="C8">
        <v>5</v>
      </c>
      <c r="D8">
        <v>0.6180555555555556</v>
      </c>
      <c r="E8">
        <v>5</v>
      </c>
      <c r="F8">
        <v>0.6180555555555556</v>
      </c>
      <c r="G8">
        <v>5</v>
      </c>
      <c r="H8">
        <v>0.6180555555555556</v>
      </c>
      <c r="I8">
        <v>5</v>
      </c>
      <c r="J8">
        <v>0.6180555555555556</v>
      </c>
      <c r="K8">
        <v>5</v>
      </c>
      <c r="L8">
        <v>0.6180555555555556</v>
      </c>
      <c r="M8">
        <v>5</v>
      </c>
      <c r="N8">
        <v>0.6180555555555556</v>
      </c>
      <c r="P8" t="str">
        <v>○</v>
      </c>
      <c r="Q8" t="str">
        <v>全校集会（プール開き）</v>
      </c>
    </row>
    <row r="9">
      <c r="A9">
        <v>6</v>
      </c>
      <c r="B9" t="str">
        <v>土</v>
      </c>
    </row>
    <row r="10">
      <c r="A10">
        <v>7</v>
      </c>
      <c r="B10" t="str">
        <v>日</v>
      </c>
    </row>
    <row r="11">
      <c r="A11">
        <v>8</v>
      </c>
      <c r="B11" t="str">
        <v>月</v>
      </c>
      <c r="C11">
        <v>4</v>
      </c>
      <c r="D11">
        <v>0.5868055555555556</v>
      </c>
      <c r="E11">
        <v>4</v>
      </c>
      <c r="F11">
        <v>0.5868055555555556</v>
      </c>
      <c r="G11">
        <v>5</v>
      </c>
      <c r="H11">
        <v>0.6180555555555556</v>
      </c>
      <c r="I11">
        <v>5</v>
      </c>
      <c r="J11">
        <v>0.6458333333333334</v>
      </c>
      <c r="K11">
        <v>5</v>
      </c>
      <c r="L11">
        <v>0.6458333333333334</v>
      </c>
      <c r="M11">
        <v>5</v>
      </c>
      <c r="N11">
        <v>0.6458333333333334</v>
      </c>
      <c r="P11" t="str">
        <v>○</v>
      </c>
      <c r="Q11" t="str">
        <v>人権教室6年③(学1)、児童会活動日</v>
      </c>
    </row>
    <row r="12">
      <c r="A12">
        <v>9</v>
      </c>
      <c r="B12" t="str">
        <v>火</v>
      </c>
      <c r="C12">
        <v>5</v>
      </c>
      <c r="D12">
        <v>0.6006944444444444</v>
      </c>
      <c r="E12">
        <v>5</v>
      </c>
      <c r="F12">
        <v>0.6006944444444444</v>
      </c>
      <c r="G12">
        <v>5</v>
      </c>
      <c r="H12">
        <v>0.6006944444444444</v>
      </c>
      <c r="I12">
        <v>6</v>
      </c>
      <c r="J12">
        <v>0.6354166666666666</v>
      </c>
      <c r="K12">
        <v>6</v>
      </c>
      <c r="L12">
        <v>0.6354166666666666</v>
      </c>
      <c r="M12">
        <v>6</v>
      </c>
      <c r="N12">
        <v>0.6354166666666666</v>
      </c>
      <c r="P12" t="str">
        <v>○</v>
      </c>
      <c r="Q12" t="str">
        <v>眼科検診10:00～、クラブ活動2(上:ク1)</v>
      </c>
    </row>
    <row r="13" xml:space="preserve">
      <c r="A13">
        <v>10</v>
      </c>
      <c r="B13" t="str">
        <v>水</v>
      </c>
      <c r="C13">
        <v>5</v>
      </c>
      <c r="D13">
        <v>0.6180555555555556</v>
      </c>
      <c r="E13">
        <v>5</v>
      </c>
      <c r="F13">
        <v>0.6180555555555556</v>
      </c>
      <c r="G13">
        <v>5</v>
      </c>
      <c r="H13">
        <v>0.6180555555555556</v>
      </c>
      <c r="I13">
        <v>6</v>
      </c>
      <c r="J13">
        <v>0.6527777777777778</v>
      </c>
      <c r="K13">
        <v>6</v>
      </c>
      <c r="L13">
        <v>0.6527777777777778</v>
      </c>
      <c r="M13">
        <v>6</v>
      </c>
      <c r="N13">
        <v>0.6527777777777778</v>
      </c>
      <c r="P13" t="str">
        <v>○</v>
      </c>
      <c r="Q13" t="str" xml:space="preserve">
        <v xml:space="preserve">生徒指導・現職教育委員会_x000d_
※口座振替日1</v>
      </c>
    </row>
    <row r="14">
      <c r="A14">
        <v>11</v>
      </c>
      <c r="B14" t="str">
        <v>木</v>
      </c>
      <c r="C14">
        <v>4</v>
      </c>
      <c r="D14">
        <v>0.5694444444444444</v>
      </c>
      <c r="E14">
        <v>5</v>
      </c>
      <c r="F14">
        <v>0.6006944444444444</v>
      </c>
      <c r="G14">
        <v>5</v>
      </c>
      <c r="H14">
        <v>0.6006944444444444</v>
      </c>
      <c r="I14">
        <v>6</v>
      </c>
      <c r="J14">
        <v>0.6354166666666666</v>
      </c>
      <c r="K14">
        <v>6</v>
      </c>
      <c r="L14">
        <v>0.6354166666666666</v>
      </c>
      <c r="M14">
        <v>6</v>
      </c>
      <c r="N14">
        <v>0.6354166666666666</v>
      </c>
      <c r="P14" t="str">
        <v>○</v>
      </c>
    </row>
    <row r="15">
      <c r="A15">
        <v>12</v>
      </c>
      <c r="B15" t="str">
        <v>金</v>
      </c>
      <c r="C15">
        <v>5</v>
      </c>
      <c r="D15">
        <v>0.6180555555555556</v>
      </c>
      <c r="E15">
        <v>5</v>
      </c>
      <c r="F15">
        <v>0.6180555555555556</v>
      </c>
      <c r="G15">
        <v>5</v>
      </c>
      <c r="H15">
        <v>0.6180555555555556</v>
      </c>
      <c r="I15">
        <v>5</v>
      </c>
      <c r="J15">
        <v>0.6180555555555556</v>
      </c>
      <c r="K15">
        <v>5</v>
      </c>
      <c r="L15">
        <v>0.6180555555555556</v>
      </c>
      <c r="M15">
        <v>5</v>
      </c>
      <c r="N15">
        <v>0.6180555555555556</v>
      </c>
      <c r="P15" t="str">
        <v>○</v>
      </c>
      <c r="Q15" t="str">
        <v>引き渡し訓練</v>
      </c>
    </row>
    <row r="16">
      <c r="A16">
        <v>13</v>
      </c>
      <c r="B16" t="str">
        <v>土</v>
      </c>
    </row>
    <row r="17">
      <c r="A17">
        <v>14</v>
      </c>
      <c r="B17" t="str">
        <v>日</v>
      </c>
    </row>
    <row r="18">
      <c r="A18">
        <v>15</v>
      </c>
      <c r="B18" t="str">
        <v>月</v>
      </c>
      <c r="C18">
        <v>4</v>
      </c>
      <c r="D18">
        <v>0.5416666666666666</v>
      </c>
      <c r="E18">
        <v>4</v>
      </c>
      <c r="F18">
        <v>0.5416666666666666</v>
      </c>
      <c r="G18">
        <v>5</v>
      </c>
      <c r="H18">
        <v>0.5833333333333334</v>
      </c>
      <c r="I18">
        <v>5</v>
      </c>
      <c r="J18">
        <v>0.5833333333333334</v>
      </c>
      <c r="K18">
        <v>5</v>
      </c>
      <c r="L18">
        <v>0.5833333333333334</v>
      </c>
      <c r="M18">
        <v>5</v>
      </c>
      <c r="N18">
        <v>0.5833333333333334</v>
      </c>
      <c r="O18" t="str">
        <v>短縮</v>
      </c>
      <c r="P18" t="str">
        <v>○</v>
      </c>
      <c r="Q18" t="str">
        <v>【短縮】校内支援委員会１</v>
      </c>
    </row>
    <row r="19">
      <c r="A19">
        <v>16</v>
      </c>
      <c r="B19" t="str">
        <v>火</v>
      </c>
      <c r="C19">
        <v>5</v>
      </c>
      <c r="D19">
        <v>0.6006944444444444</v>
      </c>
      <c r="E19">
        <v>5</v>
      </c>
      <c r="F19">
        <v>0.6006944444444444</v>
      </c>
      <c r="G19">
        <v>5</v>
      </c>
      <c r="H19">
        <v>0.6006944444444444</v>
      </c>
      <c r="I19">
        <v>6</v>
      </c>
      <c r="J19">
        <v>0.6354166666666666</v>
      </c>
      <c r="K19">
        <v>6</v>
      </c>
      <c r="L19">
        <v>0.6354166666666666</v>
      </c>
      <c r="M19">
        <v>6</v>
      </c>
      <c r="N19">
        <v>0.6354166666666666</v>
      </c>
      <c r="P19" t="str">
        <v>○</v>
      </c>
      <c r="Q19" t="str">
        <v>クラブ活動3(上:ク1)</v>
      </c>
    </row>
    <row r="20">
      <c r="A20">
        <v>17</v>
      </c>
      <c r="B20" t="str">
        <v>水</v>
      </c>
      <c r="C20">
        <v>5</v>
      </c>
      <c r="D20">
        <v>0.5833333333333334</v>
      </c>
      <c r="E20">
        <v>5</v>
      </c>
      <c r="F20">
        <v>0.5833333333333334</v>
      </c>
      <c r="G20">
        <v>5</v>
      </c>
      <c r="H20">
        <v>0.5833333333333334</v>
      </c>
      <c r="I20">
        <v>5</v>
      </c>
      <c r="J20">
        <v>0.5833333333333334</v>
      </c>
      <c r="K20">
        <v>5</v>
      </c>
      <c r="L20">
        <v>0.5833333333333334</v>
      </c>
      <c r="M20">
        <v>5</v>
      </c>
      <c r="N20">
        <v>0.5833333333333334</v>
      </c>
      <c r="O20" t="str">
        <v>短縮</v>
      </c>
      <c r="P20" t="str">
        <v>○</v>
      </c>
      <c r="Q20" t="str">
        <v>【短縮】職員会議</v>
      </c>
    </row>
    <row r="21">
      <c r="A21">
        <v>18</v>
      </c>
      <c r="B21" t="str">
        <v>木</v>
      </c>
      <c r="C21">
        <v>4</v>
      </c>
      <c r="D21">
        <v>0.5694444444444444</v>
      </c>
      <c r="E21">
        <v>5</v>
      </c>
      <c r="F21">
        <v>0.6006944444444444</v>
      </c>
      <c r="G21">
        <v>5</v>
      </c>
      <c r="H21">
        <v>0.6006944444444444</v>
      </c>
      <c r="I21">
        <v>6</v>
      </c>
      <c r="J21">
        <v>0.6354166666666666</v>
      </c>
      <c r="K21">
        <v>6</v>
      </c>
      <c r="L21">
        <v>0.6354166666666666</v>
      </c>
      <c r="M21">
        <v>6</v>
      </c>
      <c r="N21">
        <v>0.6354166666666666</v>
      </c>
      <c r="P21" t="str">
        <v>○</v>
      </c>
      <c r="Q21" t="str">
        <v>人権教室5年④(学1)</v>
      </c>
    </row>
    <row r="22">
      <c r="A22">
        <v>19</v>
      </c>
      <c r="B22" t="str">
        <v>金</v>
      </c>
      <c r="C22">
        <v>4</v>
      </c>
      <c r="D22">
        <v>0.5868055555555556</v>
      </c>
      <c r="E22">
        <v>5</v>
      </c>
      <c r="F22">
        <v>0.6180555555555556</v>
      </c>
      <c r="G22">
        <v>5</v>
      </c>
      <c r="H22">
        <v>0.6180555555555556</v>
      </c>
      <c r="I22">
        <v>5</v>
      </c>
      <c r="J22">
        <v>0.6180555555555556</v>
      </c>
      <c r="K22">
        <v>5</v>
      </c>
      <c r="L22">
        <v>0.6180555555555556</v>
      </c>
      <c r="M22">
        <v>5</v>
      </c>
      <c r="N22">
        <v>0.6180555555555556</v>
      </c>
      <c r="P22" t="str">
        <v>○</v>
      </c>
      <c r="Q22" t="str">
        <v>人権教室4年③(学1)</v>
      </c>
    </row>
    <row r="23">
      <c r="A23">
        <v>20</v>
      </c>
      <c r="B23" t="str">
        <v>土</v>
      </c>
    </row>
    <row r="24">
      <c r="A24">
        <v>21</v>
      </c>
      <c r="B24" t="str">
        <v>日</v>
      </c>
    </row>
    <row r="25" xml:space="preserve">
      <c r="A25">
        <v>22</v>
      </c>
      <c r="B25" t="str">
        <v>月</v>
      </c>
      <c r="C25">
        <v>5</v>
      </c>
      <c r="D25">
        <v>0.6006944444444444</v>
      </c>
      <c r="E25">
        <v>5</v>
      </c>
      <c r="F25">
        <v>0.6</v>
      </c>
      <c r="G25">
        <v>5</v>
      </c>
      <c r="H25">
        <v>0.6006944444444444</v>
      </c>
      <c r="I25">
        <v>5</v>
      </c>
      <c r="J25">
        <v>0.6006944444444444</v>
      </c>
      <c r="K25">
        <v>5</v>
      </c>
      <c r="L25">
        <v>0.6006944444444444</v>
      </c>
      <c r="M25">
        <v>6</v>
      </c>
      <c r="N25">
        <v>0.6354166666666666</v>
      </c>
      <c r="P25" t="str">
        <v>○</v>
      </c>
      <c r="Q25" t="str" xml:space="preserve">
        <v xml:space="preserve">【火・木日程】市教育長訪問（午前）_x000d_
※７月時間割提出</v>
      </c>
    </row>
    <row r="26">
      <c r="A26">
        <v>23</v>
      </c>
      <c r="B26" t="str">
        <v>火</v>
      </c>
      <c r="C26">
        <v>4</v>
      </c>
      <c r="D26">
        <v>0.5868055555555556</v>
      </c>
      <c r="E26">
        <v>4</v>
      </c>
      <c r="F26">
        <v>0.5868055555555556</v>
      </c>
      <c r="G26">
        <v>5</v>
      </c>
      <c r="H26">
        <v>0.6180555555555556</v>
      </c>
      <c r="I26">
        <v>5</v>
      </c>
      <c r="J26">
        <v>0.6180555555555556</v>
      </c>
      <c r="K26">
        <v>5</v>
      </c>
      <c r="L26">
        <v>0.6180555555555556</v>
      </c>
      <c r="M26">
        <v>5</v>
      </c>
      <c r="N26">
        <v>0.6180555555555556</v>
      </c>
      <c r="P26" t="str">
        <v>○</v>
      </c>
      <c r="Q26" t="str">
        <v>【月・水・金日程】尿検査二次</v>
      </c>
    </row>
    <row r="27">
      <c r="A27">
        <v>24</v>
      </c>
      <c r="B27" t="str">
        <v>水</v>
      </c>
      <c r="C27">
        <v>5</v>
      </c>
      <c r="D27">
        <v>0.6180555555555556</v>
      </c>
      <c r="E27">
        <v>5</v>
      </c>
      <c r="F27">
        <v>0.6180555555555556</v>
      </c>
      <c r="G27">
        <v>5</v>
      </c>
      <c r="H27">
        <v>0.6180555555555556</v>
      </c>
      <c r="I27">
        <v>6</v>
      </c>
      <c r="J27">
        <v>0.6527777777777778</v>
      </c>
      <c r="K27">
        <v>6</v>
      </c>
      <c r="L27" t="str">
        <v>-</v>
      </c>
      <c r="M27">
        <v>6</v>
      </c>
      <c r="N27">
        <v>0.6527777777777778</v>
      </c>
      <c r="P27" t="str">
        <v>弁</v>
      </c>
      <c r="Q27" t="str">
        <v>宿泊学習1日目(5年:行2教4)、弁当日</v>
      </c>
    </row>
    <row r="28" xml:space="preserve">
      <c r="A28">
        <v>25</v>
      </c>
      <c r="B28" t="str">
        <v>木</v>
      </c>
      <c r="C28">
        <v>4</v>
      </c>
      <c r="D28">
        <v>0.5694444444444444</v>
      </c>
      <c r="E28">
        <v>5</v>
      </c>
      <c r="F28">
        <v>0.6006944444444444</v>
      </c>
      <c r="G28">
        <v>5</v>
      </c>
      <c r="H28">
        <v>0.6006944444444444</v>
      </c>
      <c r="I28">
        <v>6</v>
      </c>
      <c r="J28">
        <v>0.6354166666666666</v>
      </c>
      <c r="K28">
        <v>6</v>
      </c>
      <c r="L28">
        <v>0.6666666666666666</v>
      </c>
      <c r="M28">
        <v>6</v>
      </c>
      <c r="N28">
        <v>0.6354166666666666</v>
      </c>
      <c r="P28" t="str">
        <v>弁</v>
      </c>
      <c r="Q28" t="str" xml:space="preserve">
        <v xml:space="preserve">宿泊学習2日目(5年:行2教4)、弁当日_x000d_
※口座振替日2</v>
      </c>
    </row>
    <row r="29">
      <c r="A29">
        <v>26</v>
      </c>
      <c r="B29" t="str">
        <v>金</v>
      </c>
      <c r="C29">
        <v>5</v>
      </c>
      <c r="D29">
        <v>0.6180555555555556</v>
      </c>
      <c r="E29">
        <v>5</v>
      </c>
      <c r="F29">
        <v>0.6180555555555556</v>
      </c>
      <c r="G29">
        <v>5</v>
      </c>
      <c r="H29">
        <v>0.6180555555555556</v>
      </c>
      <c r="I29">
        <v>5</v>
      </c>
      <c r="J29">
        <v>0.6180555555555556</v>
      </c>
      <c r="K29">
        <v>5</v>
      </c>
      <c r="L29">
        <v>0.6180555555555556</v>
      </c>
      <c r="M29">
        <v>5</v>
      </c>
      <c r="N29">
        <v>0.6180555555555556</v>
      </c>
      <c r="P29" t="str">
        <v>○</v>
      </c>
    </row>
    <row r="30">
      <c r="A30">
        <v>27</v>
      </c>
      <c r="B30" t="str">
        <v>土</v>
      </c>
    </row>
    <row r="31">
      <c r="A31">
        <v>28</v>
      </c>
      <c r="B31" t="str">
        <v>日</v>
      </c>
    </row>
    <row r="32">
      <c r="A32">
        <v>29</v>
      </c>
      <c r="B32" t="str">
        <v>月</v>
      </c>
      <c r="C32">
        <v>4</v>
      </c>
      <c r="D32">
        <v>0.5868055555555556</v>
      </c>
      <c r="E32">
        <v>4</v>
      </c>
      <c r="F32">
        <v>0.5868055555555556</v>
      </c>
      <c r="G32">
        <v>5</v>
      </c>
      <c r="H32">
        <v>0.6180555555555556</v>
      </c>
      <c r="I32">
        <v>5</v>
      </c>
      <c r="J32">
        <v>0.6180555555555556</v>
      </c>
      <c r="K32">
        <v>5</v>
      </c>
      <c r="L32">
        <v>0.6180555555555556</v>
      </c>
      <c r="M32">
        <v>6</v>
      </c>
      <c r="N32">
        <v>0.6527777777777778</v>
      </c>
      <c r="P32" t="str">
        <v>○</v>
      </c>
    </row>
    <row r="33">
      <c r="A33">
        <v>30</v>
      </c>
      <c r="B33" t="str">
        <v>火</v>
      </c>
      <c r="C33">
        <v>5</v>
      </c>
      <c r="D33">
        <v>0.6006944444444444</v>
      </c>
      <c r="E33">
        <v>5</v>
      </c>
      <c r="F33">
        <v>0.6006944444444444</v>
      </c>
      <c r="G33">
        <v>5</v>
      </c>
      <c r="H33">
        <v>0.6006944444444444</v>
      </c>
      <c r="I33">
        <v>6</v>
      </c>
      <c r="J33">
        <v>0.6354166666666666</v>
      </c>
      <c r="K33">
        <v>6</v>
      </c>
      <c r="L33">
        <v>0.6354166666666666</v>
      </c>
      <c r="M33">
        <v>6</v>
      </c>
      <c r="N33">
        <v>0.6354166666666666</v>
      </c>
      <c r="P33" t="str">
        <v>○</v>
      </c>
      <c r="Q33" t="str">
        <v>食に関する授業②③(2年:学1)、クラブ活動3(上:ク1)※月末統計</v>
      </c>
    </row>
    <row r="34" xml:space="preserve">
      <c r="A34" t="str" xml:space="preserve">
        <v xml:space="preserve">留_x000d_
意_x000d_
点</v>
      </c>
      <c r="B34" t="str" xml:space="preserve">
        <v xml:space="preserve">○6/2(火)は現職全体授業のため、5校時に。6/1(月)が6校時に。6/8(月)に児童会活動日を移動しました。_x000d_
○5/19(火)のクラブ活動を、6/30(火)に移動しました。_x000d_
○4～6年生の人権教室が第1候補で入っております。第2候補の方も予定で入れておいてください(学活1)。_x000d_
　4年:6/15(月)④、5年:6/11(木)④、6年:6/16(火)④</v>
      </c>
    </row>
    <row r="35">
      <c r="B35">
        <f>F2</f>
        <v>6</v>
      </c>
      <c r="C35" t="str">
        <v>月</v>
      </c>
      <c r="D35" t="str">
        <v>実施時数予定</v>
      </c>
    </row>
    <row r="36">
      <c r="C36" t="str">
        <v>１年</v>
      </c>
      <c r="E36" t="str">
        <v>２年</v>
      </c>
      <c r="G36" t="str">
        <v>３年</v>
      </c>
      <c r="I36" t="str">
        <v>４年</v>
      </c>
      <c r="K36" t="str">
        <v>５年</v>
      </c>
      <c r="M36" t="str">
        <v>６年</v>
      </c>
      <c r="O36" t="str">
        <v>Ｍ時数</v>
      </c>
      <c r="P36" t="str">
        <v>食数</v>
      </c>
    </row>
    <row r="37">
      <c r="A37" t="str">
        <v>実施できる時数</v>
      </c>
      <c r="C37">
        <f>SUM(C4:C33)</f>
        <v>99</v>
      </c>
      <c r="E37">
        <f>SUM(E4:E33)+O37</f>
        <v>105</v>
      </c>
      <c r="G37">
        <f>SUM(G4:G33)+O37</f>
        <v>111</v>
      </c>
      <c r="I37">
        <f>SUM(I4:I33)+O37</f>
        <v>121</v>
      </c>
      <c r="K37">
        <f>SUM(K4:K33)+O37</f>
        <v>121</v>
      </c>
      <c r="M37">
        <f>SUM(M4:M33)+O37</f>
        <v>123</v>
      </c>
      <c r="P37">
        <f>COUNTIF(P3:P33,"○")</f>
        <v>20</v>
      </c>
    </row>
    <row r="38">
      <c r="A38" t="str">
        <v>計画された時数</v>
      </c>
      <c r="C38">
        <v>99</v>
      </c>
      <c r="E38">
        <v>104</v>
      </c>
      <c r="G38">
        <v>111</v>
      </c>
      <c r="I38">
        <v>120</v>
      </c>
      <c r="K38">
        <v>121</v>
      </c>
      <c r="M38">
        <v>122</v>
      </c>
    </row>
    <row r="39">
      <c r="A39" t="str">
        <v>6月余剰時数</v>
      </c>
      <c r="C39">
        <f>C37-C38</f>
        <v>0</v>
      </c>
      <c r="E39">
        <f>E37-E38</f>
        <v>1</v>
      </c>
      <c r="G39">
        <f>G37-G38</f>
        <v>0</v>
      </c>
      <c r="I39">
        <f>I37-I38</f>
        <v>1</v>
      </c>
      <c r="K39">
        <f>K37-K38</f>
        <v>0</v>
      </c>
      <c r="M39">
        <f>M37-M38</f>
        <v>1</v>
      </c>
    </row>
    <row r="40">
      <c r="Q40">
        <v>3</v>
      </c>
    </row>
  </sheetData>
  <mergeCells count="42">
    <mergeCell ref="A39:B39"/>
    <mergeCell ref="C39:D39"/>
    <mergeCell ref="E39:F39"/>
    <mergeCell ref="G39:H39"/>
    <mergeCell ref="I39:J39"/>
    <mergeCell ref="A38:B38"/>
    <mergeCell ref="C38:D38"/>
    <mergeCell ref="E38:F38"/>
    <mergeCell ref="G38:H38"/>
    <mergeCell ref="I38:J38"/>
    <mergeCell ref="K37:L37"/>
    <mergeCell ref="M38:N38"/>
    <mergeCell ref="K39:L39"/>
    <mergeCell ref="M39:N39"/>
    <mergeCell ref="K38:L38"/>
    <mergeCell ref="A1:D1"/>
    <mergeCell ref="A2:D2"/>
    <mergeCell ref="R2:W2"/>
    <mergeCell ref="C3:D3"/>
    <mergeCell ref="E3:F3"/>
    <mergeCell ref="G3:H3"/>
    <mergeCell ref="I3:J3"/>
    <mergeCell ref="K3:L3"/>
    <mergeCell ref="M3:N3"/>
    <mergeCell ref="F1:Q1"/>
    <mergeCell ref="H2:P2"/>
    <mergeCell ref="B34:Q34"/>
    <mergeCell ref="D35:G35"/>
    <mergeCell ref="M36:N36"/>
    <mergeCell ref="R36:W36"/>
    <mergeCell ref="A37:B37"/>
    <mergeCell ref="M37:N37"/>
    <mergeCell ref="A36:B36"/>
    <mergeCell ref="C36:D36"/>
    <mergeCell ref="E36:F36"/>
    <mergeCell ref="G36:H36"/>
    <mergeCell ref="I36:J36"/>
    <mergeCell ref="K36:L36"/>
    <mergeCell ref="C37:D37"/>
    <mergeCell ref="E37:F37"/>
    <mergeCell ref="G37:H37"/>
    <mergeCell ref="I37:J37"/>
  </mergeCells>
  <pageMargins left="0.3937007874015748" right="0.3937007874015748" top="0.3937007874015748" bottom="0.3937007874015748" header="0.31496062992125984" footer="0.31496062992125984"/>
  <ignoredErrors>
    <ignoredError numberStoredAsText="1" sqref="A1:W41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W41"/>
  <sheetViews>
    <sheetView workbookViewId="0" rightToLeft="0"/>
  </sheetViews>
  <sheetData>
    <row r="2">
      <c r="A2" t="str">
        <v>令和８年度</v>
      </c>
      <c r="F2">
        <v>6</v>
      </c>
      <c r="G2" t="str">
        <v>月</v>
      </c>
      <c r="H2" t="str">
        <v>授業時数･下校予定時刻一覧表(5/18版)</v>
      </c>
      <c r="Q2" t="str">
        <v>本宮市立本宮まゆみ小学校</v>
      </c>
    </row>
    <row r="3">
      <c r="A3" t="str">
        <v>日</v>
      </c>
      <c r="B3" t="str">
        <v>曜</v>
      </c>
      <c r="C3" t="str">
        <v>１学年</v>
      </c>
      <c r="E3" t="str">
        <v>２学年</v>
      </c>
      <c r="G3" t="str">
        <v>３学年</v>
      </c>
      <c r="I3" t="str">
        <v>４学年</v>
      </c>
      <c r="K3" t="str">
        <v>５学年</v>
      </c>
      <c r="M3" t="str">
        <v>６学年</v>
      </c>
      <c r="O3" t="str">
        <v>特別日程</v>
      </c>
      <c r="P3" t="str">
        <v>給食</v>
      </c>
      <c r="Q3" t="str">
        <v>行　　事　　等</v>
      </c>
    </row>
    <row r="4">
      <c r="A4">
        <v>1</v>
      </c>
      <c r="B4" t="str">
        <v>月</v>
      </c>
      <c r="C4">
        <v>4</v>
      </c>
      <c r="D4">
        <v>0.5868055555555556</v>
      </c>
      <c r="E4">
        <v>4</v>
      </c>
      <c r="F4">
        <v>0.5868055555555556</v>
      </c>
      <c r="G4">
        <v>5</v>
      </c>
      <c r="H4">
        <v>0.6180555555555556</v>
      </c>
      <c r="I4">
        <v>6</v>
      </c>
      <c r="J4">
        <v>0.6527777777777778</v>
      </c>
      <c r="K4">
        <v>6</v>
      </c>
      <c r="L4">
        <v>0.6527777777777778</v>
      </c>
      <c r="M4">
        <v>6</v>
      </c>
      <c r="N4">
        <v>0.6527777777777778</v>
      </c>
      <c r="P4" t="str">
        <v>○</v>
      </c>
      <c r="Q4" t="str">
        <v>なかよし班交流タイム２（業間）、安全点検、※５月月案反省提出</v>
      </c>
    </row>
    <row r="5">
      <c r="A5">
        <v>2</v>
      </c>
      <c r="B5" t="str">
        <v>火</v>
      </c>
      <c r="C5">
        <v>5</v>
      </c>
      <c r="D5">
        <v>0.6006944444444444</v>
      </c>
      <c r="E5">
        <v>5</v>
      </c>
      <c r="F5">
        <v>0.6006944444444444</v>
      </c>
      <c r="G5">
        <v>5</v>
      </c>
      <c r="H5">
        <v>0.6006944444444444</v>
      </c>
      <c r="I5">
        <v>5</v>
      </c>
      <c r="J5">
        <v>0.6006944444444444</v>
      </c>
      <c r="K5">
        <v>5</v>
      </c>
      <c r="L5">
        <v>0.6006944444444444</v>
      </c>
      <c r="M5">
        <v>5</v>
      </c>
      <c r="N5">
        <v>0.6006944444444444</v>
      </c>
      <c r="P5" t="str">
        <v>○</v>
      </c>
      <c r="Q5" t="str">
        <v>新体力テスト（高）、尿検査、現職全体授業⑤</v>
      </c>
    </row>
    <row r="6">
      <c r="A6">
        <v>3</v>
      </c>
      <c r="B6" t="str">
        <v>水</v>
      </c>
      <c r="C6">
        <v>4</v>
      </c>
      <c r="D6">
        <v>0.5868055555555556</v>
      </c>
      <c r="E6">
        <v>5</v>
      </c>
      <c r="F6">
        <v>0.6180555555555556</v>
      </c>
      <c r="G6">
        <v>5</v>
      </c>
      <c r="H6">
        <v>0.6180555555555556</v>
      </c>
      <c r="I6">
        <v>6</v>
      </c>
      <c r="J6">
        <v>0.6527777777777778</v>
      </c>
      <c r="K6">
        <v>6</v>
      </c>
      <c r="L6">
        <v>0.6527777777777778</v>
      </c>
      <c r="M6">
        <v>6</v>
      </c>
      <c r="N6">
        <v>0.6527777777777778</v>
      </c>
      <c r="P6" t="str">
        <v>○</v>
      </c>
      <c r="Q6" t="str">
        <v>新体力テスト（低）、内科検診13:30～（まゆさく・1・4・6年）、尿検査予備日</v>
      </c>
    </row>
    <row r="7">
      <c r="A7">
        <v>4</v>
      </c>
      <c r="B7" t="str">
        <v>木</v>
      </c>
      <c r="C7">
        <v>4</v>
      </c>
      <c r="D7">
        <v>0.5694444444444444</v>
      </c>
      <c r="E7">
        <v>5</v>
      </c>
      <c r="F7">
        <v>0.6006944444444444</v>
      </c>
      <c r="G7">
        <v>6</v>
      </c>
      <c r="H7">
        <v>0.6354166666666666</v>
      </c>
      <c r="I7">
        <v>6</v>
      </c>
      <c r="J7">
        <v>0.6354166666666666</v>
      </c>
      <c r="K7">
        <v>6</v>
      </c>
      <c r="L7">
        <v>0.6354166666666666</v>
      </c>
      <c r="M7">
        <v>6</v>
      </c>
      <c r="N7">
        <v>0.6354166666666666</v>
      </c>
      <c r="P7" t="str">
        <v>○</v>
      </c>
      <c r="Q7" t="str">
        <v>新体力テスト（中）、内科検診13:30～（2・3・5年）</v>
      </c>
    </row>
    <row r="8">
      <c r="A8">
        <v>5</v>
      </c>
      <c r="B8" t="str">
        <v>金</v>
      </c>
      <c r="C8">
        <v>5</v>
      </c>
      <c r="D8">
        <v>0.6180555555555556</v>
      </c>
      <c r="E8">
        <v>5</v>
      </c>
      <c r="F8">
        <v>0.6180555555555556</v>
      </c>
      <c r="G8">
        <v>5</v>
      </c>
      <c r="H8">
        <v>0.6180555555555556</v>
      </c>
      <c r="I8">
        <v>5</v>
      </c>
      <c r="J8">
        <v>0.6180555555555556</v>
      </c>
      <c r="K8">
        <v>5</v>
      </c>
      <c r="L8">
        <v>0.6180555555555556</v>
      </c>
      <c r="M8">
        <v>5</v>
      </c>
      <c r="N8">
        <v>0.6180555555555556</v>
      </c>
      <c r="P8" t="str">
        <v>○</v>
      </c>
      <c r="Q8" t="str">
        <v>全校集会（プール開き）</v>
      </c>
    </row>
    <row r="9">
      <c r="A9">
        <v>6</v>
      </c>
      <c r="B9" t="str">
        <v>土</v>
      </c>
    </row>
    <row r="10">
      <c r="A10">
        <v>7</v>
      </c>
      <c r="B10" t="str">
        <v>日</v>
      </c>
    </row>
    <row r="11">
      <c r="A11">
        <v>8</v>
      </c>
      <c r="B11" t="str">
        <v>月</v>
      </c>
      <c r="C11">
        <v>4</v>
      </c>
      <c r="D11">
        <v>0.5868055555555556</v>
      </c>
      <c r="E11">
        <v>4</v>
      </c>
      <c r="F11">
        <v>0.5868055555555556</v>
      </c>
      <c r="G11">
        <v>5</v>
      </c>
      <c r="H11">
        <v>0.6180555555555556</v>
      </c>
      <c r="I11">
        <v>5</v>
      </c>
      <c r="J11">
        <v>0.6458333333333334</v>
      </c>
      <c r="K11">
        <v>5</v>
      </c>
      <c r="L11">
        <v>0.6458333333333334</v>
      </c>
      <c r="M11">
        <v>5</v>
      </c>
      <c r="N11">
        <v>0.6458333333333334</v>
      </c>
      <c r="P11" t="str">
        <v>○</v>
      </c>
      <c r="Q11" t="str">
        <v>人権教室6年③(学1)、児童会活動日</v>
      </c>
    </row>
    <row r="12">
      <c r="A12">
        <v>9</v>
      </c>
      <c r="B12" t="str">
        <v>火</v>
      </c>
      <c r="C12">
        <v>5</v>
      </c>
      <c r="D12">
        <v>0.6006944444444444</v>
      </c>
      <c r="E12">
        <v>5</v>
      </c>
      <c r="F12">
        <v>0.6006944444444444</v>
      </c>
      <c r="G12">
        <v>5</v>
      </c>
      <c r="H12">
        <v>0.6006944444444444</v>
      </c>
      <c r="I12">
        <v>6</v>
      </c>
      <c r="J12">
        <v>0.6354166666666666</v>
      </c>
      <c r="K12">
        <v>6</v>
      </c>
      <c r="L12">
        <v>0.6354166666666666</v>
      </c>
      <c r="M12">
        <v>6</v>
      </c>
      <c r="N12">
        <v>0.6354166666666666</v>
      </c>
      <c r="P12" t="str">
        <v>○</v>
      </c>
      <c r="Q12" t="str">
        <v>眼科検診10:00～、クラブ活動2(上:ク1)</v>
      </c>
    </row>
    <row r="13" xml:space="preserve">
      <c r="A13">
        <v>10</v>
      </c>
      <c r="B13" t="str">
        <v>水</v>
      </c>
      <c r="C13">
        <v>5</v>
      </c>
      <c r="D13">
        <v>0.6180555555555556</v>
      </c>
      <c r="E13">
        <v>5</v>
      </c>
      <c r="F13">
        <v>0.6180555555555556</v>
      </c>
      <c r="G13">
        <v>5</v>
      </c>
      <c r="H13">
        <v>0.6180555555555556</v>
      </c>
      <c r="I13">
        <v>6</v>
      </c>
      <c r="J13">
        <v>0.6527777777777778</v>
      </c>
      <c r="K13">
        <v>6</v>
      </c>
      <c r="L13">
        <v>0.6527777777777778</v>
      </c>
      <c r="M13">
        <v>6</v>
      </c>
      <c r="N13">
        <v>0.6527777777777778</v>
      </c>
      <c r="P13" t="str">
        <v>○</v>
      </c>
      <c r="Q13" t="str" xml:space="preserve">
        <v xml:space="preserve">生徒指導・現職教育委員会_x000d_
※口座振替日1_x000d_
クリーンセンター・浄水場見学①～④(4年)</v>
      </c>
    </row>
    <row r="14">
      <c r="A14">
        <v>11</v>
      </c>
      <c r="B14" t="str">
        <v>木</v>
      </c>
      <c r="C14">
        <v>4</v>
      </c>
      <c r="D14">
        <v>0.5694444444444444</v>
      </c>
      <c r="E14">
        <v>5</v>
      </c>
      <c r="F14">
        <v>0.6006944444444444</v>
      </c>
      <c r="G14">
        <v>5</v>
      </c>
      <c r="H14">
        <v>0.6006944444444444</v>
      </c>
      <c r="I14">
        <v>6</v>
      </c>
      <c r="J14">
        <v>0.6354166666666666</v>
      </c>
      <c r="K14">
        <v>6</v>
      </c>
      <c r="L14">
        <v>0.6354166666666666</v>
      </c>
      <c r="M14">
        <v>6</v>
      </c>
      <c r="N14">
        <v>0.6354166666666666</v>
      </c>
      <c r="P14" t="str">
        <v>○</v>
      </c>
    </row>
    <row r="15">
      <c r="A15">
        <v>12</v>
      </c>
      <c r="B15" t="str">
        <v>金</v>
      </c>
      <c r="C15">
        <v>5</v>
      </c>
      <c r="D15">
        <v>0.6180555555555556</v>
      </c>
      <c r="E15">
        <v>5</v>
      </c>
      <c r="F15">
        <v>0.6180555555555556</v>
      </c>
      <c r="G15">
        <v>5</v>
      </c>
      <c r="H15">
        <v>0.6180555555555556</v>
      </c>
      <c r="I15">
        <v>5</v>
      </c>
      <c r="J15">
        <v>0.6180555555555556</v>
      </c>
      <c r="K15">
        <v>5</v>
      </c>
      <c r="L15">
        <v>0.6180555555555556</v>
      </c>
      <c r="M15">
        <v>5</v>
      </c>
      <c r="N15">
        <v>0.6180555555555556</v>
      </c>
      <c r="P15" t="str">
        <v>○</v>
      </c>
      <c r="Q15" t="str">
        <v>引き渡し訓練</v>
      </c>
    </row>
    <row r="16">
      <c r="A16">
        <v>13</v>
      </c>
      <c r="B16" t="str">
        <v>土</v>
      </c>
    </row>
    <row r="17">
      <c r="A17">
        <v>14</v>
      </c>
      <c r="B17" t="str">
        <v>日</v>
      </c>
    </row>
    <row r="18">
      <c r="A18">
        <v>15</v>
      </c>
      <c r="B18" t="str">
        <v>月</v>
      </c>
      <c r="C18">
        <v>4</v>
      </c>
      <c r="D18">
        <v>0.5416666666666666</v>
      </c>
      <c r="E18">
        <v>4</v>
      </c>
      <c r="F18">
        <v>0.5416666666666666</v>
      </c>
      <c r="G18">
        <v>5</v>
      </c>
      <c r="H18">
        <v>0.5833333333333334</v>
      </c>
      <c r="I18">
        <v>5</v>
      </c>
      <c r="J18">
        <v>0.5833333333333334</v>
      </c>
      <c r="K18">
        <v>5</v>
      </c>
      <c r="L18">
        <v>0.5833333333333334</v>
      </c>
      <c r="M18">
        <v>5</v>
      </c>
      <c r="N18">
        <v>0.5833333333333334</v>
      </c>
      <c r="O18" t="str">
        <v>短縮</v>
      </c>
      <c r="P18" t="str">
        <v>○</v>
      </c>
      <c r="Q18" t="str">
        <v>【短縮】校内支援委員会１</v>
      </c>
    </row>
    <row r="19">
      <c r="A19">
        <v>16</v>
      </c>
      <c r="B19" t="str">
        <v>火</v>
      </c>
      <c r="C19">
        <v>5</v>
      </c>
      <c r="D19">
        <v>0.6006944444444444</v>
      </c>
      <c r="E19">
        <v>5</v>
      </c>
      <c r="F19">
        <v>0.6006944444444444</v>
      </c>
      <c r="G19">
        <v>5</v>
      </c>
      <c r="H19">
        <v>0.6006944444444444</v>
      </c>
      <c r="I19">
        <v>6</v>
      </c>
      <c r="J19">
        <v>0.6354166666666666</v>
      </c>
      <c r="K19">
        <v>6</v>
      </c>
      <c r="L19">
        <v>0.6354166666666666</v>
      </c>
      <c r="M19">
        <v>6</v>
      </c>
      <c r="N19">
        <v>0.6354166666666666</v>
      </c>
      <c r="P19" t="str">
        <v>○</v>
      </c>
      <c r="Q19" t="str">
        <v>クラブ活動3(上:ク1)</v>
      </c>
    </row>
    <row r="20">
      <c r="A20">
        <v>17</v>
      </c>
      <c r="B20" t="str">
        <v>水</v>
      </c>
      <c r="C20">
        <v>5</v>
      </c>
      <c r="D20">
        <v>0.6180555555555556</v>
      </c>
      <c r="E20">
        <v>5</v>
      </c>
      <c r="F20">
        <v>0.6180555555555556</v>
      </c>
      <c r="G20">
        <v>5</v>
      </c>
      <c r="H20">
        <v>0.6180555555555556</v>
      </c>
      <c r="I20">
        <v>6</v>
      </c>
      <c r="J20">
        <v>0.6527777777777778</v>
      </c>
      <c r="K20">
        <v>6</v>
      </c>
      <c r="L20">
        <v>0.6527777777777778</v>
      </c>
      <c r="M20">
        <v>6</v>
      </c>
      <c r="N20">
        <v>0.6527777777777778</v>
      </c>
      <c r="P20" t="str">
        <v>○</v>
      </c>
    </row>
    <row r="21">
      <c r="A21">
        <v>18</v>
      </c>
      <c r="B21" t="str">
        <v>木</v>
      </c>
      <c r="C21">
        <v>4</v>
      </c>
      <c r="D21">
        <v>0.5416666666666666</v>
      </c>
      <c r="E21">
        <v>5</v>
      </c>
      <c r="F21">
        <v>0.5833333333333334</v>
      </c>
      <c r="G21">
        <v>5</v>
      </c>
      <c r="H21">
        <v>0.5833333333333334</v>
      </c>
      <c r="I21">
        <v>5</v>
      </c>
      <c r="J21">
        <v>0.5833333333333334</v>
      </c>
      <c r="K21">
        <v>5</v>
      </c>
      <c r="L21">
        <v>0.5833333333333334</v>
      </c>
      <c r="M21">
        <v>5</v>
      </c>
      <c r="N21">
        <v>0.5833333333333334</v>
      </c>
      <c r="O21" t="str">
        <v>短縮</v>
      </c>
      <c r="P21" t="str">
        <v>○</v>
      </c>
      <c r="Q21" t="str">
        <v>【短縮】職員会議、人権教室5年④(学1)</v>
      </c>
    </row>
    <row r="22">
      <c r="A22">
        <v>19</v>
      </c>
      <c r="B22" t="str">
        <v>金</v>
      </c>
      <c r="C22">
        <v>4</v>
      </c>
      <c r="D22">
        <v>0.5868055555555556</v>
      </c>
      <c r="E22">
        <v>5</v>
      </c>
      <c r="F22">
        <v>0.6180555555555556</v>
      </c>
      <c r="G22">
        <v>5</v>
      </c>
      <c r="H22">
        <v>0.6180555555555556</v>
      </c>
      <c r="I22">
        <v>5</v>
      </c>
      <c r="J22">
        <v>0.6180555555555556</v>
      </c>
      <c r="K22">
        <v>5</v>
      </c>
      <c r="L22">
        <v>0.6180555555555556</v>
      </c>
      <c r="M22">
        <v>5</v>
      </c>
      <c r="N22">
        <v>0.6180555555555556</v>
      </c>
      <c r="P22" t="str">
        <v>○</v>
      </c>
      <c r="Q22" t="str">
        <v>人権教室4年③(学1)</v>
      </c>
    </row>
    <row r="23">
      <c r="A23">
        <v>20</v>
      </c>
      <c r="B23" t="str">
        <v>土</v>
      </c>
    </row>
    <row r="24">
      <c r="A24">
        <v>21</v>
      </c>
      <c r="B24" t="str">
        <v>日</v>
      </c>
    </row>
    <row r="25" xml:space="preserve">
      <c r="A25">
        <v>22</v>
      </c>
      <c r="B25" t="str">
        <v>月</v>
      </c>
      <c r="C25">
        <v>5</v>
      </c>
      <c r="D25">
        <v>0.6006944444444444</v>
      </c>
      <c r="E25">
        <v>5</v>
      </c>
      <c r="F25">
        <v>0.6006944444444444</v>
      </c>
      <c r="G25">
        <v>5</v>
      </c>
      <c r="H25">
        <v>0.6006944444444444</v>
      </c>
      <c r="I25">
        <v>5</v>
      </c>
      <c r="J25">
        <v>0.6006944444444444</v>
      </c>
      <c r="K25">
        <v>5</v>
      </c>
      <c r="L25">
        <v>0.6006944444444444</v>
      </c>
      <c r="M25">
        <v>6</v>
      </c>
      <c r="N25">
        <v>0.6354166666666666</v>
      </c>
      <c r="P25" t="str">
        <v>○</v>
      </c>
      <c r="Q25" t="str" xml:space="preserve">
        <v xml:space="preserve">【火・木日程】市教育長訪問（午前）_x000d_
※７月時間割提出</v>
      </c>
    </row>
    <row r="26">
      <c r="A26">
        <v>23</v>
      </c>
      <c r="B26" t="str">
        <v>火</v>
      </c>
      <c r="C26">
        <v>4</v>
      </c>
      <c r="D26">
        <v>0.5868055555555556</v>
      </c>
      <c r="E26">
        <v>4</v>
      </c>
      <c r="F26">
        <v>0.5868055555555556</v>
      </c>
      <c r="G26">
        <v>5</v>
      </c>
      <c r="H26">
        <v>0.6180555555555556</v>
      </c>
      <c r="I26">
        <v>5</v>
      </c>
      <c r="J26">
        <v>0.6180555555555556</v>
      </c>
      <c r="K26">
        <v>5</v>
      </c>
      <c r="L26">
        <v>0.6180555555555556</v>
      </c>
      <c r="M26">
        <v>5</v>
      </c>
      <c r="N26">
        <v>0.6180555555555556</v>
      </c>
      <c r="P26" t="str">
        <v>○</v>
      </c>
      <c r="Q26" t="str">
        <v>【月・水・金日程】尿検査二次</v>
      </c>
    </row>
    <row r="27">
      <c r="A27">
        <v>24</v>
      </c>
      <c r="B27" t="str">
        <v>水</v>
      </c>
      <c r="C27">
        <v>5</v>
      </c>
      <c r="D27">
        <v>0.6180555555555556</v>
      </c>
      <c r="E27">
        <v>5</v>
      </c>
      <c r="F27">
        <v>0.6180555555555556</v>
      </c>
      <c r="G27">
        <v>5</v>
      </c>
      <c r="H27">
        <v>0.6180555555555556</v>
      </c>
      <c r="I27">
        <v>6</v>
      </c>
      <c r="J27">
        <v>0.6527777777777778</v>
      </c>
      <c r="K27">
        <v>6</v>
      </c>
      <c r="L27" t="str">
        <v>-</v>
      </c>
      <c r="M27">
        <v>6</v>
      </c>
      <c r="N27">
        <v>0.6527777777777778</v>
      </c>
      <c r="P27" t="str">
        <v>弁</v>
      </c>
      <c r="Q27" t="str">
        <v>宿泊学習1日目(5年:行2教4)、弁当日</v>
      </c>
    </row>
    <row r="28" xml:space="preserve">
      <c r="A28">
        <v>25</v>
      </c>
      <c r="B28" t="str">
        <v>木</v>
      </c>
      <c r="C28">
        <v>4</v>
      </c>
      <c r="D28">
        <v>0.5694444444444444</v>
      </c>
      <c r="E28">
        <v>5</v>
      </c>
      <c r="F28">
        <v>0.6006944444444444</v>
      </c>
      <c r="G28">
        <v>5</v>
      </c>
      <c r="H28">
        <v>0.6006944444444444</v>
      </c>
      <c r="I28">
        <v>6</v>
      </c>
      <c r="J28">
        <v>0.6354166666666666</v>
      </c>
      <c r="K28">
        <v>6</v>
      </c>
      <c r="L28">
        <v>0.6666666666666666</v>
      </c>
      <c r="M28">
        <v>6</v>
      </c>
      <c r="N28">
        <v>0.6354166666666666</v>
      </c>
      <c r="P28" t="str">
        <v>弁</v>
      </c>
      <c r="Q28" t="str" xml:space="preserve">
        <v xml:space="preserve">宿泊学習2日目(5年:行2教4)、弁当日_x000d_
※口座振替日2</v>
      </c>
    </row>
    <row r="29">
      <c r="A29">
        <v>26</v>
      </c>
      <c r="B29" t="str">
        <v>金</v>
      </c>
      <c r="C29">
        <v>5</v>
      </c>
      <c r="D29">
        <v>0.6180555555555556</v>
      </c>
      <c r="E29">
        <v>5</v>
      </c>
      <c r="F29">
        <v>0.6180555555555556</v>
      </c>
      <c r="G29">
        <v>5</v>
      </c>
      <c r="H29">
        <v>0.6180555555555556</v>
      </c>
      <c r="I29">
        <v>5</v>
      </c>
      <c r="J29">
        <v>0.6180555555555556</v>
      </c>
      <c r="K29">
        <v>5</v>
      </c>
      <c r="L29">
        <v>0.6180555555555556</v>
      </c>
      <c r="M29">
        <v>5</v>
      </c>
      <c r="N29">
        <v>0.6180555555555556</v>
      </c>
      <c r="P29" t="str">
        <v>○</v>
      </c>
    </row>
    <row r="30">
      <c r="A30">
        <v>27</v>
      </c>
      <c r="B30" t="str">
        <v>土</v>
      </c>
    </row>
    <row r="31">
      <c r="A31">
        <v>28</v>
      </c>
      <c r="B31" t="str">
        <v>日</v>
      </c>
    </row>
    <row r="32">
      <c r="A32">
        <v>29</v>
      </c>
      <c r="B32" t="str">
        <v>月</v>
      </c>
      <c r="C32">
        <v>4</v>
      </c>
      <c r="D32">
        <v>0.5868055555555556</v>
      </c>
      <c r="E32">
        <v>4</v>
      </c>
      <c r="F32">
        <v>0.5868055555555556</v>
      </c>
      <c r="G32">
        <v>5</v>
      </c>
      <c r="H32">
        <v>0.6180555555555556</v>
      </c>
      <c r="I32">
        <v>5</v>
      </c>
      <c r="J32">
        <v>0.6180555555555556</v>
      </c>
      <c r="K32">
        <v>5</v>
      </c>
      <c r="L32">
        <v>0.6180555555555556</v>
      </c>
      <c r="M32">
        <v>6</v>
      </c>
      <c r="N32">
        <v>0.6527777777777778</v>
      </c>
      <c r="P32" t="str">
        <v>○</v>
      </c>
    </row>
    <row r="33">
      <c r="A33">
        <v>30</v>
      </c>
      <c r="B33" t="str">
        <v>火</v>
      </c>
      <c r="C33">
        <v>5</v>
      </c>
      <c r="D33">
        <v>0.6006944444444444</v>
      </c>
      <c r="E33">
        <v>5</v>
      </c>
      <c r="F33">
        <v>0.6006944444444444</v>
      </c>
      <c r="G33">
        <v>5</v>
      </c>
      <c r="H33">
        <v>0.6006944444444444</v>
      </c>
      <c r="I33">
        <v>6</v>
      </c>
      <c r="J33">
        <v>0.6354166666666666</v>
      </c>
      <c r="K33">
        <v>6</v>
      </c>
      <c r="L33">
        <v>0.6354166666666666</v>
      </c>
      <c r="M33">
        <v>6</v>
      </c>
      <c r="N33">
        <v>0.6354166666666666</v>
      </c>
      <c r="P33" t="str">
        <v>○</v>
      </c>
      <c r="Q33" t="str">
        <v>食に関する授業②③(2年:学1)、クラブ活動3(上:ク1)※月末統計</v>
      </c>
    </row>
    <row r="34" xml:space="preserve">
      <c r="A34" t="str" xml:space="preserve">
        <v xml:space="preserve">留_x000d_
意_x000d_
点</v>
      </c>
      <c r="B34" t="str" xml:space="preserve">
        <v xml:space="preserve">○6/2(火)は現職全体授業のため、5校時に。6/1(月)が6校時に。6/8(月)に児童会活動日を移動しました。_x000d_
○5/19(火)のクラブ活動を、6/30(火)に移動しました。_x000d_
○4～6年生の人権教室が第1候補で入っております。第2候補の方も予定で入れておいてください(学活1)。_x000d_
　4年:6/15(月)④、5年:6/11(木)④、6年:6/16(火)④_x000d_
○6/18(木)に職員会議が移動したため、短縮になります。1～6年生の下校時刻も変更になります（黄色）。_x000d_
　4～6年生は、6/17(水)が6校時に、6/18(木)が5校時になります（赤）。</v>
      </c>
    </row>
    <row r="35">
      <c r="B35">
        <f>F2</f>
        <v>6</v>
      </c>
      <c r="C35" t="str">
        <v>月</v>
      </c>
      <c r="D35" t="str">
        <v>実施時数予定</v>
      </c>
    </row>
    <row r="36">
      <c r="C36" t="str">
        <v>１年</v>
      </c>
      <c r="E36" t="str">
        <v>２年</v>
      </c>
      <c r="G36" t="str">
        <v>３年</v>
      </c>
      <c r="I36" t="str">
        <v>４年</v>
      </c>
      <c r="K36" t="str">
        <v>５年</v>
      </c>
      <c r="M36" t="str">
        <v>６年</v>
      </c>
      <c r="O36" t="str">
        <v>Ｍ時数</v>
      </c>
      <c r="P36" t="str">
        <v>食数</v>
      </c>
    </row>
    <row r="37">
      <c r="A37" t="str">
        <v>実施できる時数</v>
      </c>
      <c r="C37">
        <f>SUM(C4:C33)</f>
        <v>99</v>
      </c>
      <c r="E37">
        <f>SUM(E4:E33)+O37</f>
        <v>105</v>
      </c>
      <c r="G37">
        <f>SUM(G4:G33)+O37</f>
        <v>111</v>
      </c>
      <c r="I37">
        <f>SUM(I4:I33)+O37</f>
        <v>121</v>
      </c>
      <c r="K37">
        <f>SUM(K4:K33)+O37</f>
        <v>121</v>
      </c>
      <c r="M37">
        <f>SUM(M4:M33)+O37</f>
        <v>123</v>
      </c>
      <c r="P37">
        <f>COUNTIF(P3:P33,"○")</f>
        <v>20</v>
      </c>
    </row>
    <row r="38">
      <c r="A38" t="str">
        <v>計画された時数</v>
      </c>
      <c r="C38">
        <v>99</v>
      </c>
      <c r="E38">
        <v>104</v>
      </c>
      <c r="G38">
        <v>111</v>
      </c>
      <c r="I38">
        <v>120</v>
      </c>
      <c r="K38">
        <v>121</v>
      </c>
      <c r="M38">
        <v>122</v>
      </c>
    </row>
    <row r="39">
      <c r="A39" t="str">
        <v>6月余剰時数</v>
      </c>
      <c r="C39">
        <f>C37-C38</f>
        <v>0</v>
      </c>
      <c r="E39">
        <f>E37-E38</f>
        <v>1</v>
      </c>
      <c r="G39">
        <f>G37-G38</f>
        <v>0</v>
      </c>
      <c r="I39">
        <f>I37-I38</f>
        <v>1</v>
      </c>
      <c r="K39">
        <f>K37-K38</f>
        <v>0</v>
      </c>
      <c r="M39">
        <f>M37-M38</f>
        <v>1</v>
      </c>
    </row>
    <row r="40">
      <c r="Q40">
        <v>3</v>
      </c>
    </row>
  </sheetData>
  <mergeCells count="42">
    <mergeCell ref="A1:D1"/>
    <mergeCell ref="F1:Q1"/>
    <mergeCell ref="A2:D2"/>
    <mergeCell ref="H2:P2"/>
    <mergeCell ref="R2:W2"/>
    <mergeCell ref="M3:N3"/>
    <mergeCell ref="B34:Q34"/>
    <mergeCell ref="D35:G35"/>
    <mergeCell ref="A36:B36"/>
    <mergeCell ref="C36:D36"/>
    <mergeCell ref="E36:F36"/>
    <mergeCell ref="G36:H36"/>
    <mergeCell ref="I36:J36"/>
    <mergeCell ref="K36:L36"/>
    <mergeCell ref="M36:N36"/>
    <mergeCell ref="C3:D3"/>
    <mergeCell ref="E3:F3"/>
    <mergeCell ref="G3:H3"/>
    <mergeCell ref="I3:J3"/>
    <mergeCell ref="K3:L3"/>
    <mergeCell ref="R36:W36"/>
    <mergeCell ref="A37:B37"/>
    <mergeCell ref="C37:D37"/>
    <mergeCell ref="E37:F37"/>
    <mergeCell ref="G37:H37"/>
    <mergeCell ref="I37:J37"/>
    <mergeCell ref="K37:L37"/>
    <mergeCell ref="M37:N37"/>
    <mergeCell ref="M38:N38"/>
    <mergeCell ref="A39:B39"/>
    <mergeCell ref="C39:D39"/>
    <mergeCell ref="E39:F39"/>
    <mergeCell ref="G39:H39"/>
    <mergeCell ref="I39:J39"/>
    <mergeCell ref="K39:L39"/>
    <mergeCell ref="M39:N39"/>
    <mergeCell ref="A38:B38"/>
    <mergeCell ref="C38:D38"/>
    <mergeCell ref="E38:F38"/>
    <mergeCell ref="G38:H38"/>
    <mergeCell ref="I38:J38"/>
    <mergeCell ref="K38:L38"/>
  </mergeCells>
  <pageMargins left="0.3937007874015748" right="0.3937007874015748" top="0.3937007874015748" bottom="0.3937007874015748" header="0.31496062992125984" footer="0.31496062992125984"/>
  <ignoredErrors>
    <ignoredError numberStoredAsText="1" sqref="A1:W41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W41"/>
  <sheetViews>
    <sheetView workbookViewId="0" rightToLeft="0"/>
  </sheetViews>
  <sheetData>
    <row r="2">
      <c r="A2" t="str">
        <v>令和８年度</v>
      </c>
      <c r="F2">
        <v>6</v>
      </c>
      <c r="G2" t="str">
        <v>月</v>
      </c>
      <c r="H2" t="str">
        <v>授業時数･下校予定時刻一覧表(5/19版)</v>
      </c>
      <c r="Q2" t="str">
        <v>本宮市立本宮まゆみ小学校</v>
      </c>
    </row>
    <row r="3">
      <c r="A3" t="str">
        <v>日</v>
      </c>
      <c r="B3" t="str">
        <v>曜</v>
      </c>
      <c r="C3" t="str">
        <v>１学年</v>
      </c>
      <c r="E3" t="str">
        <v>２学年</v>
      </c>
      <c r="G3" t="str">
        <v>３学年</v>
      </c>
      <c r="I3" t="str">
        <v>４学年</v>
      </c>
      <c r="K3" t="str">
        <v>５学年</v>
      </c>
      <c r="M3" t="str">
        <v>６学年</v>
      </c>
      <c r="O3" t="str">
        <v>特別日程</v>
      </c>
      <c r="P3" t="str">
        <v>給食</v>
      </c>
      <c r="Q3" t="str">
        <v>行　　事　　等</v>
      </c>
    </row>
    <row r="4">
      <c r="A4">
        <v>1</v>
      </c>
      <c r="B4" t="str">
        <v>月</v>
      </c>
      <c r="C4">
        <v>4</v>
      </c>
      <c r="D4">
        <v>0.5868055555555556</v>
      </c>
      <c r="E4">
        <v>4</v>
      </c>
      <c r="F4">
        <v>0.5868055555555556</v>
      </c>
      <c r="G4">
        <v>5</v>
      </c>
      <c r="H4">
        <v>0.6180555555555556</v>
      </c>
      <c r="I4">
        <v>6</v>
      </c>
      <c r="J4">
        <v>0.6527777777777778</v>
      </c>
      <c r="K4">
        <v>6</v>
      </c>
      <c r="L4">
        <v>0.6527777777777778</v>
      </c>
      <c r="M4">
        <v>6</v>
      </c>
      <c r="N4">
        <v>0.6527777777777778</v>
      </c>
      <c r="P4" t="str">
        <v>○</v>
      </c>
      <c r="Q4" t="str">
        <v>なかよし班交流タイム２（業間）、安全点検、※５月月案反省提出</v>
      </c>
    </row>
    <row r="5">
      <c r="A5">
        <v>2</v>
      </c>
      <c r="B5" t="str">
        <v>火</v>
      </c>
      <c r="C5">
        <v>5</v>
      </c>
      <c r="D5">
        <v>0.6006944444444444</v>
      </c>
      <c r="E5">
        <v>5</v>
      </c>
      <c r="F5">
        <v>0.6006944444444444</v>
      </c>
      <c r="G5">
        <v>5</v>
      </c>
      <c r="H5">
        <v>0.6006944444444444</v>
      </c>
      <c r="I5">
        <v>5</v>
      </c>
      <c r="J5">
        <v>0.6006944444444444</v>
      </c>
      <c r="K5">
        <v>5</v>
      </c>
      <c r="L5">
        <v>0.6006944444444444</v>
      </c>
      <c r="M5">
        <v>5</v>
      </c>
      <c r="N5">
        <v>0.6006944444444444</v>
      </c>
      <c r="P5" t="str">
        <v>○</v>
      </c>
      <c r="Q5" t="str">
        <v>新体力テスト（高）、尿検査、現職全体授業⑤</v>
      </c>
    </row>
    <row r="6">
      <c r="A6">
        <v>3</v>
      </c>
      <c r="B6" t="str">
        <v>水</v>
      </c>
      <c r="C6">
        <v>4</v>
      </c>
      <c r="D6">
        <v>0.5868055555555556</v>
      </c>
      <c r="E6">
        <v>5</v>
      </c>
      <c r="F6">
        <v>0.6180555555555556</v>
      </c>
      <c r="G6">
        <v>5</v>
      </c>
      <c r="H6">
        <v>0.6180555555555556</v>
      </c>
      <c r="I6">
        <v>6</v>
      </c>
      <c r="J6">
        <v>0.6527777777777778</v>
      </c>
      <c r="K6">
        <v>6</v>
      </c>
      <c r="L6">
        <v>0.6527777777777778</v>
      </c>
      <c r="M6">
        <v>6</v>
      </c>
      <c r="N6">
        <v>0.6527777777777778</v>
      </c>
      <c r="P6" t="str">
        <v>○</v>
      </c>
      <c r="Q6" t="str">
        <v>新体力テスト（低）、内科検診13:30～（まゆさく・1・4・6年）、尿検査予備日</v>
      </c>
    </row>
    <row r="7">
      <c r="A7">
        <v>4</v>
      </c>
      <c r="B7" t="str">
        <v>木</v>
      </c>
      <c r="C7">
        <v>4</v>
      </c>
      <c r="D7">
        <v>0.5694444444444444</v>
      </c>
      <c r="E7">
        <v>5</v>
      </c>
      <c r="F7">
        <v>0.6006944444444444</v>
      </c>
      <c r="G7">
        <v>6</v>
      </c>
      <c r="H7">
        <v>0.6354166666666666</v>
      </c>
      <c r="I7">
        <v>6</v>
      </c>
      <c r="J7">
        <v>0.6354166666666666</v>
      </c>
      <c r="K7">
        <v>6</v>
      </c>
      <c r="L7">
        <v>0.6354166666666666</v>
      </c>
      <c r="M7">
        <v>6</v>
      </c>
      <c r="N7">
        <v>0.6354166666666666</v>
      </c>
      <c r="P7" t="str">
        <v>○</v>
      </c>
      <c r="Q7" t="str">
        <v>新体力テスト（中）、内科検診13:30～（2・3・5年）</v>
      </c>
    </row>
    <row r="8">
      <c r="A8">
        <v>5</v>
      </c>
      <c r="B8" t="str">
        <v>金</v>
      </c>
      <c r="C8">
        <v>5</v>
      </c>
      <c r="D8">
        <v>0.6180555555555556</v>
      </c>
      <c r="E8">
        <v>5</v>
      </c>
      <c r="F8">
        <v>0.6180555555555556</v>
      </c>
      <c r="G8">
        <v>5</v>
      </c>
      <c r="H8">
        <v>0.6180555555555556</v>
      </c>
      <c r="I8">
        <v>5</v>
      </c>
      <c r="J8">
        <v>0.6180555555555556</v>
      </c>
      <c r="K8">
        <v>5</v>
      </c>
      <c r="L8">
        <v>0.6180555555555556</v>
      </c>
      <c r="M8">
        <v>5</v>
      </c>
      <c r="N8">
        <v>0.6180555555555556</v>
      </c>
      <c r="P8" t="str">
        <v>○</v>
      </c>
      <c r="Q8" t="str">
        <v>全校集会（プール開き）</v>
      </c>
    </row>
    <row r="9">
      <c r="A9">
        <v>6</v>
      </c>
      <c r="B9" t="str">
        <v>土</v>
      </c>
    </row>
    <row r="10">
      <c r="A10">
        <v>7</v>
      </c>
      <c r="B10" t="str">
        <v>日</v>
      </c>
    </row>
    <row r="11">
      <c r="A11">
        <v>8</v>
      </c>
      <c r="B11" t="str">
        <v>月</v>
      </c>
      <c r="C11">
        <v>4</v>
      </c>
      <c r="D11">
        <v>0.5868055555555556</v>
      </c>
      <c r="E11">
        <v>4</v>
      </c>
      <c r="F11">
        <v>0.5868055555555556</v>
      </c>
      <c r="G11">
        <v>5</v>
      </c>
      <c r="H11">
        <v>0.6180555555555556</v>
      </c>
      <c r="I11">
        <v>5</v>
      </c>
      <c r="J11">
        <v>0.6458333333333334</v>
      </c>
      <c r="K11">
        <v>5</v>
      </c>
      <c r="L11">
        <v>0.6458333333333334</v>
      </c>
      <c r="M11">
        <v>5</v>
      </c>
      <c r="N11">
        <v>0.6458333333333334</v>
      </c>
      <c r="P11" t="str">
        <v>○</v>
      </c>
      <c r="Q11" t="str">
        <v>人権教室6年③(学1)、児童会活動日</v>
      </c>
    </row>
    <row r="12">
      <c r="A12">
        <v>9</v>
      </c>
      <c r="B12" t="str">
        <v>火</v>
      </c>
      <c r="C12">
        <v>5</v>
      </c>
      <c r="D12">
        <v>0.6006944444444444</v>
      </c>
      <c r="E12">
        <v>5</v>
      </c>
      <c r="F12">
        <v>0.6006944444444444</v>
      </c>
      <c r="G12">
        <v>5</v>
      </c>
      <c r="H12">
        <v>0.6006944444444444</v>
      </c>
      <c r="I12">
        <v>6</v>
      </c>
      <c r="J12">
        <v>0.6354166666666666</v>
      </c>
      <c r="K12">
        <v>6</v>
      </c>
      <c r="L12">
        <v>0.6354166666666666</v>
      </c>
      <c r="M12">
        <v>6</v>
      </c>
      <c r="N12">
        <v>0.6354166666666666</v>
      </c>
      <c r="P12" t="str">
        <v>○</v>
      </c>
      <c r="Q12" t="str">
        <v>眼科検診10:00～、クラブ活動2(上:ク1)</v>
      </c>
    </row>
    <row r="13" xml:space="preserve">
      <c r="A13">
        <v>10</v>
      </c>
      <c r="B13" t="str">
        <v>水</v>
      </c>
      <c r="C13">
        <v>5</v>
      </c>
      <c r="D13">
        <v>0.6180555555555556</v>
      </c>
      <c r="E13">
        <v>5</v>
      </c>
      <c r="F13">
        <v>0.6180555555555556</v>
      </c>
      <c r="G13">
        <v>5</v>
      </c>
      <c r="H13">
        <v>0.6180555555555556</v>
      </c>
      <c r="I13">
        <v>6</v>
      </c>
      <c r="J13">
        <v>0.6527777777777778</v>
      </c>
      <c r="K13">
        <v>6</v>
      </c>
      <c r="L13">
        <v>0.6527777777777778</v>
      </c>
      <c r="M13">
        <v>6</v>
      </c>
      <c r="N13">
        <v>0.6527777777777778</v>
      </c>
      <c r="P13" t="str">
        <v>○</v>
      </c>
      <c r="Q13" t="str" xml:space="preserve">
        <v xml:space="preserve">生徒指導・現職教育委員会_x000d_
※口座振替日1_x000d_
クリーンセンター・浄水場見学①～④(4年)</v>
      </c>
    </row>
    <row r="14">
      <c r="A14">
        <v>11</v>
      </c>
      <c r="B14" t="str">
        <v>木</v>
      </c>
      <c r="C14">
        <v>4</v>
      </c>
      <c r="D14">
        <v>0.5694444444444444</v>
      </c>
      <c r="E14">
        <v>5</v>
      </c>
      <c r="F14">
        <v>0.6006944444444444</v>
      </c>
      <c r="G14">
        <v>5</v>
      </c>
      <c r="H14">
        <v>0.6006944444444444</v>
      </c>
      <c r="I14">
        <v>6</v>
      </c>
      <c r="J14">
        <v>0.6354166666666666</v>
      </c>
      <c r="K14">
        <v>6</v>
      </c>
      <c r="L14">
        <v>0.6354166666666666</v>
      </c>
      <c r="M14">
        <v>6</v>
      </c>
      <c r="N14">
        <v>0.6354166666666666</v>
      </c>
      <c r="P14" t="str">
        <v>○</v>
      </c>
    </row>
    <row r="15">
      <c r="A15">
        <v>12</v>
      </c>
      <c r="B15" t="str">
        <v>金</v>
      </c>
      <c r="C15">
        <v>5</v>
      </c>
      <c r="D15">
        <v>0.6180555555555556</v>
      </c>
      <c r="E15">
        <v>5</v>
      </c>
      <c r="F15">
        <v>0.6180555555555556</v>
      </c>
      <c r="G15">
        <v>5</v>
      </c>
      <c r="H15">
        <v>0.6180555555555556</v>
      </c>
      <c r="I15">
        <v>5</v>
      </c>
      <c r="J15">
        <v>0.6180555555555556</v>
      </c>
      <c r="K15">
        <v>5</v>
      </c>
      <c r="L15">
        <v>0.6180555555555556</v>
      </c>
      <c r="M15">
        <v>5</v>
      </c>
      <c r="N15">
        <v>0.6180555555555556</v>
      </c>
      <c r="P15" t="str">
        <v>○</v>
      </c>
      <c r="Q15" t="str">
        <v>引き渡し訓練</v>
      </c>
    </row>
    <row r="16">
      <c r="A16">
        <v>13</v>
      </c>
      <c r="B16" t="str">
        <v>土</v>
      </c>
    </row>
    <row r="17">
      <c r="A17">
        <v>14</v>
      </c>
      <c r="B17" t="str">
        <v>日</v>
      </c>
    </row>
    <row r="18">
      <c r="A18">
        <v>15</v>
      </c>
      <c r="B18" t="str">
        <v>月</v>
      </c>
      <c r="C18">
        <v>4</v>
      </c>
      <c r="D18">
        <v>0.5416666666666666</v>
      </c>
      <c r="E18">
        <v>4</v>
      </c>
      <c r="F18">
        <v>0.5416666666666666</v>
      </c>
      <c r="G18">
        <v>5</v>
      </c>
      <c r="H18">
        <v>0.5833333333333334</v>
      </c>
      <c r="I18">
        <v>5</v>
      </c>
      <c r="J18">
        <v>0.5833333333333334</v>
      </c>
      <c r="K18">
        <v>5</v>
      </c>
      <c r="L18">
        <v>0.5833333333333334</v>
      </c>
      <c r="M18">
        <v>5</v>
      </c>
      <c r="N18">
        <v>0.5833333333333334</v>
      </c>
      <c r="O18" t="str">
        <v>短縮</v>
      </c>
      <c r="P18" t="str">
        <v>○</v>
      </c>
      <c r="Q18" t="str">
        <v>【短縮】校内支援委員会１</v>
      </c>
    </row>
    <row r="19">
      <c r="A19">
        <v>16</v>
      </c>
      <c r="B19" t="str">
        <v>火</v>
      </c>
      <c r="C19">
        <v>5</v>
      </c>
      <c r="D19">
        <v>0.6006944444444444</v>
      </c>
      <c r="E19">
        <v>5</v>
      </c>
      <c r="F19">
        <v>0.6006944444444444</v>
      </c>
      <c r="G19">
        <v>5</v>
      </c>
      <c r="H19">
        <v>0.6006944444444444</v>
      </c>
      <c r="I19">
        <v>6</v>
      </c>
      <c r="J19">
        <v>0.6354166666666666</v>
      </c>
      <c r="K19">
        <v>6</v>
      </c>
      <c r="L19">
        <v>0.6354166666666666</v>
      </c>
      <c r="M19">
        <v>6</v>
      </c>
      <c r="N19">
        <v>0.6354166666666666</v>
      </c>
      <c r="P19" t="str">
        <v>○</v>
      </c>
      <c r="Q19" t="str">
        <v>クラブ活動3(上:ク1)</v>
      </c>
    </row>
    <row r="20">
      <c r="A20">
        <v>17</v>
      </c>
      <c r="B20" t="str">
        <v>水</v>
      </c>
      <c r="C20">
        <v>5</v>
      </c>
      <c r="D20">
        <v>0.6180555555555556</v>
      </c>
      <c r="E20">
        <v>5</v>
      </c>
      <c r="F20">
        <v>0.6180555555555556</v>
      </c>
      <c r="G20">
        <v>5</v>
      </c>
      <c r="H20">
        <v>0.6180555555555556</v>
      </c>
      <c r="I20">
        <v>6</v>
      </c>
      <c r="J20">
        <v>0.6527777777777778</v>
      </c>
      <c r="K20">
        <v>6</v>
      </c>
      <c r="L20">
        <v>0.6527777777777778</v>
      </c>
      <c r="M20">
        <v>6</v>
      </c>
      <c r="N20">
        <v>0.6527777777777778</v>
      </c>
      <c r="P20" t="str">
        <v>○</v>
      </c>
    </row>
    <row r="21">
      <c r="A21">
        <v>18</v>
      </c>
      <c r="B21" t="str">
        <v>木</v>
      </c>
      <c r="C21">
        <v>4</v>
      </c>
      <c r="D21">
        <v>0.5416666666666666</v>
      </c>
      <c r="E21">
        <v>5</v>
      </c>
      <c r="F21">
        <v>0.5833333333333334</v>
      </c>
      <c r="G21">
        <v>5</v>
      </c>
      <c r="H21">
        <v>0.5833333333333334</v>
      </c>
      <c r="I21">
        <v>5</v>
      </c>
      <c r="J21">
        <v>0.5833333333333334</v>
      </c>
      <c r="K21">
        <v>5</v>
      </c>
      <c r="L21">
        <v>0.5833333333333334</v>
      </c>
      <c r="M21">
        <v>5</v>
      </c>
      <c r="N21">
        <v>0.5833333333333334</v>
      </c>
      <c r="O21" t="str">
        <v>短縮</v>
      </c>
      <c r="P21" t="str">
        <v>○</v>
      </c>
      <c r="Q21" t="str">
        <v>【短縮】職員会議、人権教室5年④(学1)</v>
      </c>
    </row>
    <row r="22">
      <c r="A22">
        <v>19</v>
      </c>
      <c r="B22" t="str">
        <v>金</v>
      </c>
      <c r="C22">
        <v>4</v>
      </c>
      <c r="D22">
        <v>0.5868055555555556</v>
      </c>
      <c r="E22">
        <v>5</v>
      </c>
      <c r="F22">
        <v>0.6180555555555556</v>
      </c>
      <c r="G22">
        <v>5</v>
      </c>
      <c r="H22">
        <v>0.6180555555555556</v>
      </c>
      <c r="I22">
        <v>5</v>
      </c>
      <c r="J22">
        <v>0.6180555555555556</v>
      </c>
      <c r="K22">
        <v>5</v>
      </c>
      <c r="L22">
        <v>0.6180555555555556</v>
      </c>
      <c r="M22">
        <v>5</v>
      </c>
      <c r="N22">
        <v>0.6180555555555556</v>
      </c>
      <c r="P22" t="str">
        <v>○</v>
      </c>
      <c r="Q22" t="str">
        <v>人権教室4年③(学1)</v>
      </c>
    </row>
    <row r="23">
      <c r="A23">
        <v>20</v>
      </c>
      <c r="B23" t="str">
        <v>土</v>
      </c>
    </row>
    <row r="24">
      <c r="A24">
        <v>21</v>
      </c>
      <c r="B24" t="str">
        <v>日</v>
      </c>
    </row>
    <row r="25" xml:space="preserve">
      <c r="A25">
        <v>22</v>
      </c>
      <c r="B25" t="str">
        <v>月</v>
      </c>
      <c r="C25">
        <v>5</v>
      </c>
      <c r="D25">
        <v>0.6006944444444444</v>
      </c>
      <c r="E25">
        <v>5</v>
      </c>
      <c r="F25">
        <v>0.6006944444444444</v>
      </c>
      <c r="G25">
        <v>5</v>
      </c>
      <c r="H25">
        <v>0.6006944444444444</v>
      </c>
      <c r="I25">
        <v>5</v>
      </c>
      <c r="J25">
        <v>0.6006944444444444</v>
      </c>
      <c r="K25">
        <v>5</v>
      </c>
      <c r="L25">
        <v>0.6006944444444444</v>
      </c>
      <c r="M25">
        <v>6</v>
      </c>
      <c r="N25">
        <v>0.6354166666666666</v>
      </c>
      <c r="P25" t="str">
        <v>○</v>
      </c>
      <c r="Q25" t="str" xml:space="preserve">
        <v xml:space="preserve">【火・木日程】市教育長訪問（午前）_x000d_
※７月時間割提出</v>
      </c>
    </row>
    <row r="26">
      <c r="A26">
        <v>23</v>
      </c>
      <c r="B26" t="str">
        <v>火</v>
      </c>
      <c r="C26">
        <v>4</v>
      </c>
      <c r="D26">
        <v>0.5868055555555556</v>
      </c>
      <c r="E26">
        <v>4</v>
      </c>
      <c r="F26">
        <v>0.5868055555555556</v>
      </c>
      <c r="G26">
        <v>5</v>
      </c>
      <c r="H26">
        <v>0.6180555555555556</v>
      </c>
      <c r="I26">
        <v>5</v>
      </c>
      <c r="J26">
        <v>0.6180555555555556</v>
      </c>
      <c r="K26">
        <v>5</v>
      </c>
      <c r="L26">
        <v>0.6180555555555556</v>
      </c>
      <c r="M26">
        <v>5</v>
      </c>
      <c r="N26">
        <v>0.6180555555555556</v>
      </c>
      <c r="P26" t="str">
        <v>○</v>
      </c>
      <c r="Q26" t="str">
        <v>【月・水・金日程】尿検査二次</v>
      </c>
    </row>
    <row r="27">
      <c r="A27">
        <v>24</v>
      </c>
      <c r="B27" t="str">
        <v>水</v>
      </c>
      <c r="C27">
        <v>5</v>
      </c>
      <c r="D27">
        <v>0.6180555555555556</v>
      </c>
      <c r="E27">
        <v>5</v>
      </c>
      <c r="F27">
        <v>0.6180555555555556</v>
      </c>
      <c r="G27">
        <v>5</v>
      </c>
      <c r="H27">
        <v>0.6180555555555556</v>
      </c>
      <c r="I27">
        <v>6</v>
      </c>
      <c r="J27">
        <v>0.6527777777777778</v>
      </c>
      <c r="K27">
        <v>6</v>
      </c>
      <c r="L27" t="str">
        <v>-</v>
      </c>
      <c r="M27">
        <v>6</v>
      </c>
      <c r="N27">
        <v>0.6527777777777778</v>
      </c>
      <c r="P27" t="str">
        <v>弁</v>
      </c>
      <c r="Q27" t="str">
        <v>宿泊学習1日目(5年:行2教4)、弁当日</v>
      </c>
    </row>
    <row r="28" xml:space="preserve">
      <c r="A28">
        <v>25</v>
      </c>
      <c r="B28" t="str">
        <v>木</v>
      </c>
      <c r="C28">
        <v>4</v>
      </c>
      <c r="D28">
        <v>0.5694444444444444</v>
      </c>
      <c r="E28">
        <v>5</v>
      </c>
      <c r="F28">
        <v>0.6006944444444444</v>
      </c>
      <c r="G28">
        <v>5</v>
      </c>
      <c r="H28">
        <v>0.6006944444444444</v>
      </c>
      <c r="I28">
        <v>6</v>
      </c>
      <c r="J28">
        <v>0.6354166666666666</v>
      </c>
      <c r="K28">
        <v>6</v>
      </c>
      <c r="L28">
        <v>0.6666666666666666</v>
      </c>
      <c r="M28">
        <v>6</v>
      </c>
      <c r="N28">
        <v>0.6354166666666666</v>
      </c>
      <c r="P28" t="str">
        <v>弁</v>
      </c>
      <c r="Q28" t="str" xml:space="preserve">
        <v xml:space="preserve">宿泊学習2日目(5年:行2教4)、弁当日_x000d_
※口座振替日2</v>
      </c>
    </row>
    <row r="29">
      <c r="A29">
        <v>26</v>
      </c>
      <c r="B29" t="str">
        <v>金</v>
      </c>
      <c r="C29">
        <v>5</v>
      </c>
      <c r="D29">
        <v>0.6180555555555556</v>
      </c>
      <c r="E29">
        <v>5</v>
      </c>
      <c r="F29">
        <v>0.6180555555555556</v>
      </c>
      <c r="G29">
        <v>5</v>
      </c>
      <c r="H29">
        <v>0.6180555555555556</v>
      </c>
      <c r="I29">
        <v>5</v>
      </c>
      <c r="J29">
        <v>0.6180555555555556</v>
      </c>
      <c r="K29">
        <v>5</v>
      </c>
      <c r="L29">
        <v>0.6180555555555556</v>
      </c>
      <c r="M29">
        <v>5</v>
      </c>
      <c r="N29">
        <v>0.6180555555555556</v>
      </c>
      <c r="P29" t="str">
        <v>○</v>
      </c>
    </row>
    <row r="30">
      <c r="A30">
        <v>27</v>
      </c>
      <c r="B30" t="str">
        <v>土</v>
      </c>
    </row>
    <row r="31">
      <c r="A31">
        <v>28</v>
      </c>
      <c r="B31" t="str">
        <v>日</v>
      </c>
    </row>
    <row r="32">
      <c r="A32">
        <v>29</v>
      </c>
      <c r="B32" t="str">
        <v>月</v>
      </c>
      <c r="C32">
        <v>4</v>
      </c>
      <c r="D32">
        <v>0.5868055555555556</v>
      </c>
      <c r="E32">
        <v>4</v>
      </c>
      <c r="F32">
        <v>0.5868055555555556</v>
      </c>
      <c r="G32">
        <v>5</v>
      </c>
      <c r="H32">
        <v>0.6180555555555556</v>
      </c>
      <c r="I32">
        <v>5</v>
      </c>
      <c r="J32">
        <v>0.6180555555555556</v>
      </c>
      <c r="K32">
        <v>5</v>
      </c>
      <c r="L32">
        <v>0.6180555555555556</v>
      </c>
      <c r="M32">
        <v>6</v>
      </c>
      <c r="N32">
        <v>0.6527777777777778</v>
      </c>
      <c r="P32" t="str">
        <v>○</v>
      </c>
    </row>
    <row r="33">
      <c r="A33">
        <v>30</v>
      </c>
      <c r="B33" t="str">
        <v>火</v>
      </c>
      <c r="C33">
        <v>5</v>
      </c>
      <c r="D33">
        <v>0.6006944444444444</v>
      </c>
      <c r="E33">
        <v>5</v>
      </c>
      <c r="F33">
        <v>0.6006944444444444</v>
      </c>
      <c r="G33">
        <v>5</v>
      </c>
      <c r="H33">
        <v>0.6006944444444444</v>
      </c>
      <c r="I33">
        <v>6</v>
      </c>
      <c r="J33">
        <v>0.6354166666666666</v>
      </c>
      <c r="K33">
        <v>6</v>
      </c>
      <c r="L33">
        <v>0.6354166666666666</v>
      </c>
      <c r="M33">
        <v>6</v>
      </c>
      <c r="N33">
        <v>0.6354166666666666</v>
      </c>
      <c r="P33" t="str">
        <v>○</v>
      </c>
      <c r="Q33" t="str">
        <v>食に関する授業②③(2年:学1)、クラブ活動3(上:ク1)※月末統計</v>
      </c>
    </row>
    <row r="34" xml:space="preserve">
      <c r="A34" t="str" xml:space="preserve">
        <v xml:space="preserve">留_x000d_
意_x000d_
点</v>
      </c>
      <c r="B34" t="str" xml:space="preserve">
        <v xml:space="preserve">○6/2(火)は現職全体授業のため、5校時に。6/1(月)が6校時に。6/8(月)に児童会活動日を移動しました。_x000d_
○5/19(火)のクラブ活動を、6/30(火)に移動しました。_x000d_
○4～6年生の人権教室が第1候補で入っております。第2候補の方も予定で入れておいてください(学活1)。_x000d_
　4年:6/15(月)④、5年:6/11(木)④、6年:6/16(火)④_x000d_
○6/18(木)に職員会議が移動したため、短縮になります。1～6年生の下校時刻も変更になります（黄色）。_x000d_
　4～6年生は、6/17(水)が6校時に、6/18(木)が5校時になります（赤）。_x000d_
○6/22(月)の市教育長訪問が、7/10(金)になりました。時数や下校時間等は変わりません。</v>
      </c>
    </row>
    <row r="35">
      <c r="B35">
        <f>F2</f>
        <v>6</v>
      </c>
      <c r="C35" t="str">
        <v>月</v>
      </c>
      <c r="D35" t="str">
        <v>実施時数予定</v>
      </c>
    </row>
    <row r="36">
      <c r="C36" t="str">
        <v>１年</v>
      </c>
      <c r="E36" t="str">
        <v>２年</v>
      </c>
      <c r="G36" t="str">
        <v>３年</v>
      </c>
      <c r="I36" t="str">
        <v>４年</v>
      </c>
      <c r="K36" t="str">
        <v>５年</v>
      </c>
      <c r="M36" t="str">
        <v>６年</v>
      </c>
      <c r="O36" t="str">
        <v>Ｍ時数</v>
      </c>
      <c r="P36" t="str">
        <v>食数</v>
      </c>
    </row>
    <row r="37">
      <c r="A37" t="str">
        <v>実施できる時数</v>
      </c>
      <c r="C37">
        <f>SUM(C4:C33)</f>
        <v>99</v>
      </c>
      <c r="E37">
        <f>SUM(E4:E33)+O37</f>
        <v>105</v>
      </c>
      <c r="G37">
        <f>SUM(G4:G33)+O37</f>
        <v>111</v>
      </c>
      <c r="I37">
        <f>SUM(I4:I33)+O37</f>
        <v>121</v>
      </c>
      <c r="K37">
        <f>SUM(K4:K33)+O37</f>
        <v>121</v>
      </c>
      <c r="M37">
        <f>SUM(M4:M33)+O37</f>
        <v>123</v>
      </c>
      <c r="P37">
        <f>COUNTIF(P3:P33,"○")</f>
        <v>20</v>
      </c>
    </row>
    <row r="38">
      <c r="A38" t="str">
        <v>計画された時数</v>
      </c>
      <c r="C38">
        <v>99</v>
      </c>
      <c r="E38">
        <v>104</v>
      </c>
      <c r="G38">
        <v>111</v>
      </c>
      <c r="I38">
        <v>120</v>
      </c>
      <c r="K38">
        <v>121</v>
      </c>
      <c r="M38">
        <v>122</v>
      </c>
    </row>
    <row r="39">
      <c r="A39" t="str">
        <v>6月余剰時数</v>
      </c>
      <c r="C39">
        <f>C37-C38</f>
        <v>0</v>
      </c>
      <c r="E39">
        <f>E37-E38</f>
        <v>1</v>
      </c>
      <c r="G39">
        <f>G37-G38</f>
        <v>0</v>
      </c>
      <c r="I39">
        <f>I37-I38</f>
        <v>1</v>
      </c>
      <c r="K39">
        <f>K37-K38</f>
        <v>0</v>
      </c>
      <c r="M39">
        <f>M37-M38</f>
        <v>1</v>
      </c>
    </row>
    <row r="40">
      <c r="Q40">
        <v>3</v>
      </c>
    </row>
  </sheetData>
  <mergeCells count="42">
    <mergeCell ref="M38:N38"/>
    <mergeCell ref="A39:B39"/>
    <mergeCell ref="C39:D39"/>
    <mergeCell ref="E39:F39"/>
    <mergeCell ref="G39:H39"/>
    <mergeCell ref="I39:J39"/>
    <mergeCell ref="K39:L39"/>
    <mergeCell ref="M39:N39"/>
    <mergeCell ref="A38:B38"/>
    <mergeCell ref="C38:D38"/>
    <mergeCell ref="E38:F38"/>
    <mergeCell ref="G38:H38"/>
    <mergeCell ref="I38:J38"/>
    <mergeCell ref="K38:L38"/>
    <mergeCell ref="R36:W36"/>
    <mergeCell ref="A37:B37"/>
    <mergeCell ref="C37:D37"/>
    <mergeCell ref="E37:F37"/>
    <mergeCell ref="G37:H37"/>
    <mergeCell ref="I37:J37"/>
    <mergeCell ref="K37:L37"/>
    <mergeCell ref="M37:N37"/>
    <mergeCell ref="M3:N3"/>
    <mergeCell ref="B34:Q34"/>
    <mergeCell ref="D35:G35"/>
    <mergeCell ref="A36:B36"/>
    <mergeCell ref="C36:D36"/>
    <mergeCell ref="E36:F36"/>
    <mergeCell ref="G36:H36"/>
    <mergeCell ref="I36:J36"/>
    <mergeCell ref="K36:L36"/>
    <mergeCell ref="M36:N36"/>
    <mergeCell ref="C3:D3"/>
    <mergeCell ref="E3:F3"/>
    <mergeCell ref="G3:H3"/>
    <mergeCell ref="I3:J3"/>
    <mergeCell ref="K3:L3"/>
    <mergeCell ref="A1:D1"/>
    <mergeCell ref="F1:Q1"/>
    <mergeCell ref="A2:D2"/>
    <mergeCell ref="H2:P2"/>
    <mergeCell ref="R2:W2"/>
  </mergeCells>
  <pageMargins left="0.3937007874015748" right="0.3937007874015748" top="0.3937007874015748" bottom="0.3937007874015748" header="0.31496062992125984" footer="0.31496062992125984"/>
  <ignoredErrors>
    <ignoredError numberStoredAsText="1" sqref="A1:W41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W41"/>
  <sheetViews>
    <sheetView workbookViewId="0" rightToLeft="0"/>
  </sheetViews>
  <sheetData>
    <row r="2">
      <c r="A2" t="str">
        <v>令和８年度</v>
      </c>
      <c r="F2">
        <v>6</v>
      </c>
      <c r="G2" t="str">
        <v>月</v>
      </c>
      <c r="H2" t="str">
        <v>授業時数･下校予定時刻一覧表(5/20版)</v>
      </c>
      <c r="Q2" t="str">
        <v>本宮市立本宮まゆみ小学校</v>
      </c>
    </row>
    <row r="3">
      <c r="A3" t="str">
        <v>日</v>
      </c>
      <c r="B3" t="str">
        <v>曜</v>
      </c>
      <c r="C3" t="str">
        <v>１学年</v>
      </c>
      <c r="E3" t="str">
        <v>２学年</v>
      </c>
      <c r="G3" t="str">
        <v>３学年</v>
      </c>
      <c r="I3" t="str">
        <v>４学年</v>
      </c>
      <c r="K3" t="str">
        <v>５学年</v>
      </c>
      <c r="M3" t="str">
        <v>６学年</v>
      </c>
      <c r="O3" t="str">
        <v>特別日程</v>
      </c>
      <c r="P3" t="str">
        <v>給食</v>
      </c>
      <c r="Q3" t="str">
        <v>行　　事　　等</v>
      </c>
    </row>
    <row r="4">
      <c r="A4">
        <v>1</v>
      </c>
      <c r="B4" t="str">
        <v>月</v>
      </c>
      <c r="C4">
        <v>4</v>
      </c>
      <c r="D4">
        <v>0.5868055555555556</v>
      </c>
      <c r="E4">
        <v>4</v>
      </c>
      <c r="F4">
        <v>0.5868055555555556</v>
      </c>
      <c r="G4">
        <v>5</v>
      </c>
      <c r="H4">
        <v>0.6180555555555556</v>
      </c>
      <c r="I4">
        <v>6</v>
      </c>
      <c r="J4">
        <v>0.6527777777777778</v>
      </c>
      <c r="K4">
        <v>6</v>
      </c>
      <c r="L4">
        <v>0.6527777777777778</v>
      </c>
      <c r="M4">
        <v>6</v>
      </c>
      <c r="N4">
        <v>0.6527777777777778</v>
      </c>
      <c r="P4" t="str">
        <v>○</v>
      </c>
      <c r="Q4" t="str">
        <v>なかよし班交流タイム２（業間）、安全点検、※５月月案反省提出</v>
      </c>
    </row>
    <row r="5">
      <c r="A5">
        <v>2</v>
      </c>
      <c r="B5" t="str">
        <v>火</v>
      </c>
      <c r="C5">
        <v>5</v>
      </c>
      <c r="D5">
        <v>0.6006944444444444</v>
      </c>
      <c r="E5">
        <v>5</v>
      </c>
      <c r="F5">
        <v>0.6006944444444444</v>
      </c>
      <c r="G5">
        <v>5</v>
      </c>
      <c r="H5">
        <v>0.6006944444444444</v>
      </c>
      <c r="I5">
        <v>5</v>
      </c>
      <c r="J5">
        <v>0.6006944444444444</v>
      </c>
      <c r="K5">
        <v>5</v>
      </c>
      <c r="L5">
        <v>0.6006944444444444</v>
      </c>
      <c r="M5">
        <v>5</v>
      </c>
      <c r="N5">
        <v>0.6006944444444444</v>
      </c>
      <c r="P5" t="str">
        <v>○</v>
      </c>
      <c r="Q5" t="str">
        <v>新体力テスト（高）、尿検査、現職全体授業⑤</v>
      </c>
    </row>
    <row r="6">
      <c r="A6">
        <v>3</v>
      </c>
      <c r="B6" t="str">
        <v>水</v>
      </c>
      <c r="C6">
        <v>4</v>
      </c>
      <c r="D6">
        <v>0.5868055555555556</v>
      </c>
      <c r="E6">
        <v>5</v>
      </c>
      <c r="F6">
        <v>0.6180555555555556</v>
      </c>
      <c r="G6">
        <v>5</v>
      </c>
      <c r="H6">
        <v>0.6180555555555556</v>
      </c>
      <c r="I6">
        <v>6</v>
      </c>
      <c r="J6">
        <v>0.6527777777777778</v>
      </c>
      <c r="K6">
        <v>6</v>
      </c>
      <c r="L6">
        <v>0.6527777777777778</v>
      </c>
      <c r="M6">
        <v>6</v>
      </c>
      <c r="N6">
        <v>0.6527777777777778</v>
      </c>
      <c r="P6" t="str">
        <v>○</v>
      </c>
      <c r="Q6" t="str">
        <v>新体力テスト（低）、内科検診13:30～（まゆさく・1・3・6年）、尿検査予備日</v>
      </c>
    </row>
    <row r="7">
      <c r="A7">
        <v>4</v>
      </c>
      <c r="B7" t="str">
        <v>木</v>
      </c>
      <c r="C7">
        <v>4</v>
      </c>
      <c r="D7">
        <v>0.5694444444444444</v>
      </c>
      <c r="E7">
        <v>5</v>
      </c>
      <c r="F7">
        <v>0.6006944444444444</v>
      </c>
      <c r="G7">
        <v>6</v>
      </c>
      <c r="H7">
        <v>0.6354166666666666</v>
      </c>
      <c r="I7">
        <v>6</v>
      </c>
      <c r="J7">
        <v>0.6354166666666666</v>
      </c>
      <c r="K7">
        <v>6</v>
      </c>
      <c r="L7">
        <v>0.6354166666666666</v>
      </c>
      <c r="M7">
        <v>6</v>
      </c>
      <c r="N7">
        <v>0.6354166666666666</v>
      </c>
      <c r="P7" t="str">
        <v>○</v>
      </c>
      <c r="Q7" t="str">
        <v>新体力テスト（中）、内科検診13:30～（2・4・5年）</v>
      </c>
    </row>
    <row r="8">
      <c r="A8">
        <v>5</v>
      </c>
      <c r="B8" t="str">
        <v>金</v>
      </c>
      <c r="C8">
        <v>5</v>
      </c>
      <c r="D8">
        <v>0.6180555555555556</v>
      </c>
      <c r="E8">
        <v>5</v>
      </c>
      <c r="F8">
        <v>0.6180555555555556</v>
      </c>
      <c r="G8">
        <v>5</v>
      </c>
      <c r="H8">
        <v>0.6180555555555556</v>
      </c>
      <c r="I8">
        <v>5</v>
      </c>
      <c r="J8">
        <v>0.6180555555555556</v>
      </c>
      <c r="K8">
        <v>5</v>
      </c>
      <c r="L8">
        <v>0.6180555555555556</v>
      </c>
      <c r="M8">
        <v>5</v>
      </c>
      <c r="N8">
        <v>0.6180555555555556</v>
      </c>
      <c r="P8" t="str">
        <v>○</v>
      </c>
      <c r="Q8" t="str">
        <v>全校集会（プール開き）</v>
      </c>
    </row>
    <row r="9">
      <c r="A9">
        <v>6</v>
      </c>
      <c r="B9" t="str">
        <v>土</v>
      </c>
    </row>
    <row r="10">
      <c r="A10">
        <v>7</v>
      </c>
      <c r="B10" t="str">
        <v>日</v>
      </c>
    </row>
    <row r="11">
      <c r="A11">
        <v>8</v>
      </c>
      <c r="B11" t="str">
        <v>月</v>
      </c>
      <c r="C11">
        <v>4</v>
      </c>
      <c r="D11">
        <v>0.5868055555555556</v>
      </c>
      <c r="E11">
        <v>4</v>
      </c>
      <c r="F11">
        <v>0.5868055555555556</v>
      </c>
      <c r="G11">
        <v>5</v>
      </c>
      <c r="H11">
        <v>0.6180555555555556</v>
      </c>
      <c r="I11">
        <v>5</v>
      </c>
      <c r="J11">
        <v>0.6458333333333334</v>
      </c>
      <c r="K11">
        <v>5</v>
      </c>
      <c r="L11">
        <v>0.6458333333333334</v>
      </c>
      <c r="M11">
        <v>5</v>
      </c>
      <c r="N11">
        <v>0.6458333333333334</v>
      </c>
      <c r="P11" t="str">
        <v>○</v>
      </c>
      <c r="Q11" t="str">
        <v>人権教室6年③(学1)、児童会活動日</v>
      </c>
    </row>
    <row r="12">
      <c r="A12">
        <v>9</v>
      </c>
      <c r="B12" t="str">
        <v>火</v>
      </c>
      <c r="C12">
        <v>5</v>
      </c>
      <c r="D12">
        <v>0.6006944444444444</v>
      </c>
      <c r="E12">
        <v>5</v>
      </c>
      <c r="F12">
        <v>0.6006944444444444</v>
      </c>
      <c r="G12">
        <v>5</v>
      </c>
      <c r="H12">
        <v>0.6006944444444444</v>
      </c>
      <c r="I12">
        <v>6</v>
      </c>
      <c r="J12">
        <v>0.6354166666666666</v>
      </c>
      <c r="K12">
        <v>6</v>
      </c>
      <c r="L12">
        <v>0.6354166666666666</v>
      </c>
      <c r="M12">
        <v>6</v>
      </c>
      <c r="N12">
        <v>0.6354166666666666</v>
      </c>
      <c r="P12" t="str">
        <v>○</v>
      </c>
      <c r="Q12" t="str">
        <v>眼科検診10:00～、クラブ活動2(上:ク1)</v>
      </c>
    </row>
    <row r="13" xml:space="preserve">
      <c r="A13">
        <v>10</v>
      </c>
      <c r="B13" t="str">
        <v>水</v>
      </c>
      <c r="C13">
        <v>5</v>
      </c>
      <c r="D13">
        <v>0.6180555555555556</v>
      </c>
      <c r="E13">
        <v>5</v>
      </c>
      <c r="F13">
        <v>0.6180555555555556</v>
      </c>
      <c r="G13">
        <v>5</v>
      </c>
      <c r="H13">
        <v>0.6180555555555556</v>
      </c>
      <c r="I13">
        <v>6</v>
      </c>
      <c r="J13">
        <v>0.6527777777777778</v>
      </c>
      <c r="K13">
        <v>6</v>
      </c>
      <c r="L13">
        <v>0.6527777777777778</v>
      </c>
      <c r="M13">
        <v>6</v>
      </c>
      <c r="N13">
        <v>0.6527777777777778</v>
      </c>
      <c r="P13" t="str">
        <v>○</v>
      </c>
      <c r="Q13" t="str" xml:space="preserve">
        <v xml:space="preserve">生徒指導・現職教育委員会_x000d_
※口座振替日1_x000d_
クリーンセンター・浄水場見学①～④(4年)</v>
      </c>
    </row>
    <row r="14">
      <c r="A14">
        <v>11</v>
      </c>
      <c r="B14" t="str">
        <v>木</v>
      </c>
      <c r="C14">
        <v>4</v>
      </c>
      <c r="D14">
        <v>0.5694444444444444</v>
      </c>
      <c r="E14">
        <v>5</v>
      </c>
      <c r="F14">
        <v>0.6006944444444444</v>
      </c>
      <c r="G14">
        <v>5</v>
      </c>
      <c r="H14">
        <v>0.6006944444444444</v>
      </c>
      <c r="I14">
        <v>6</v>
      </c>
      <c r="J14">
        <v>0.6354166666666666</v>
      </c>
      <c r="K14">
        <v>6</v>
      </c>
      <c r="L14">
        <v>0.6354166666666666</v>
      </c>
      <c r="M14">
        <v>6</v>
      </c>
      <c r="N14">
        <v>0.6354166666666666</v>
      </c>
      <c r="P14" t="str">
        <v>○</v>
      </c>
    </row>
    <row r="15">
      <c r="A15">
        <v>12</v>
      </c>
      <c r="B15" t="str">
        <v>金</v>
      </c>
      <c r="C15">
        <v>5</v>
      </c>
      <c r="D15">
        <v>0.6180555555555556</v>
      </c>
      <c r="E15">
        <v>5</v>
      </c>
      <c r="F15">
        <v>0.6180555555555556</v>
      </c>
      <c r="G15">
        <v>5</v>
      </c>
      <c r="H15">
        <v>0.6180555555555556</v>
      </c>
      <c r="I15">
        <v>5</v>
      </c>
      <c r="J15">
        <v>0.6180555555555556</v>
      </c>
      <c r="K15">
        <v>5</v>
      </c>
      <c r="L15">
        <v>0.6180555555555556</v>
      </c>
      <c r="M15">
        <v>5</v>
      </c>
      <c r="N15">
        <v>0.6180555555555556</v>
      </c>
      <c r="P15" t="str">
        <v>○</v>
      </c>
      <c r="Q15" t="str">
        <v>引き渡し訓練</v>
      </c>
    </row>
    <row r="16">
      <c r="A16">
        <v>13</v>
      </c>
      <c r="B16" t="str">
        <v>土</v>
      </c>
    </row>
    <row r="17">
      <c r="A17">
        <v>14</v>
      </c>
      <c r="B17" t="str">
        <v>日</v>
      </c>
    </row>
    <row r="18">
      <c r="A18">
        <v>15</v>
      </c>
      <c r="B18" t="str">
        <v>月</v>
      </c>
      <c r="C18">
        <v>4</v>
      </c>
      <c r="D18">
        <v>0.5416666666666666</v>
      </c>
      <c r="E18">
        <v>4</v>
      </c>
      <c r="F18">
        <v>0.5416666666666666</v>
      </c>
      <c r="G18">
        <v>5</v>
      </c>
      <c r="H18">
        <v>0.5833333333333334</v>
      </c>
      <c r="I18">
        <v>5</v>
      </c>
      <c r="J18">
        <v>0.5833333333333334</v>
      </c>
      <c r="K18">
        <v>5</v>
      </c>
      <c r="L18">
        <v>0.5833333333333334</v>
      </c>
      <c r="M18">
        <v>5</v>
      </c>
      <c r="N18">
        <v>0.5833333333333334</v>
      </c>
      <c r="O18" t="str">
        <v>短縮</v>
      </c>
      <c r="P18" t="str">
        <v>○</v>
      </c>
      <c r="Q18" t="str">
        <v>【短縮】校内支援委員会１</v>
      </c>
    </row>
    <row r="19">
      <c r="A19">
        <v>16</v>
      </c>
      <c r="B19" t="str">
        <v>火</v>
      </c>
      <c r="C19">
        <v>5</v>
      </c>
      <c r="D19">
        <v>0.6006944444444444</v>
      </c>
      <c r="E19">
        <v>5</v>
      </c>
      <c r="F19">
        <v>0.6006944444444444</v>
      </c>
      <c r="G19">
        <v>5</v>
      </c>
      <c r="H19">
        <v>0.6006944444444444</v>
      </c>
      <c r="I19">
        <v>6</v>
      </c>
      <c r="J19">
        <v>0.6354166666666666</v>
      </c>
      <c r="K19">
        <v>6</v>
      </c>
      <c r="L19">
        <v>0.6354166666666666</v>
      </c>
      <c r="M19">
        <v>6</v>
      </c>
      <c r="N19">
        <v>0.6354166666666666</v>
      </c>
      <c r="P19" t="str">
        <v>○</v>
      </c>
      <c r="Q19" t="str">
        <v>クラブ活動3(上:ク1)</v>
      </c>
    </row>
    <row r="20">
      <c r="A20">
        <v>17</v>
      </c>
      <c r="B20" t="str">
        <v>水</v>
      </c>
      <c r="C20">
        <v>5</v>
      </c>
      <c r="D20">
        <v>0.6180555555555556</v>
      </c>
      <c r="E20">
        <v>5</v>
      </c>
      <c r="F20">
        <v>0.6180555555555556</v>
      </c>
      <c r="G20">
        <v>5</v>
      </c>
      <c r="H20">
        <v>0.6180555555555556</v>
      </c>
      <c r="I20">
        <v>6</v>
      </c>
      <c r="J20">
        <v>0.6527777777777778</v>
      </c>
      <c r="K20">
        <v>6</v>
      </c>
      <c r="L20">
        <v>0.6527777777777778</v>
      </c>
      <c r="M20">
        <v>6</v>
      </c>
      <c r="N20">
        <v>0.6527777777777778</v>
      </c>
      <c r="P20" t="str">
        <v>○</v>
      </c>
    </row>
    <row r="21">
      <c r="A21">
        <v>18</v>
      </c>
      <c r="B21" t="str">
        <v>木</v>
      </c>
      <c r="C21">
        <v>4</v>
      </c>
      <c r="D21">
        <v>0.5416666666666666</v>
      </c>
      <c r="E21">
        <v>5</v>
      </c>
      <c r="F21">
        <v>0.5833333333333334</v>
      </c>
      <c r="G21">
        <v>5</v>
      </c>
      <c r="H21">
        <v>0.5833333333333334</v>
      </c>
      <c r="I21">
        <v>5</v>
      </c>
      <c r="J21">
        <v>0.5833333333333334</v>
      </c>
      <c r="K21">
        <v>5</v>
      </c>
      <c r="L21">
        <v>0.5833333333333334</v>
      </c>
      <c r="M21">
        <v>5</v>
      </c>
      <c r="N21">
        <v>0.5833333333333334</v>
      </c>
      <c r="O21" t="str">
        <v>短縮</v>
      </c>
      <c r="P21" t="str">
        <v>○</v>
      </c>
      <c r="Q21" t="str">
        <v>【短縮】職員会議、人権教室5年④(学1)</v>
      </c>
    </row>
    <row r="22">
      <c r="A22">
        <v>19</v>
      </c>
      <c r="B22" t="str">
        <v>金</v>
      </c>
      <c r="C22">
        <v>4</v>
      </c>
      <c r="D22">
        <v>0.5868055555555556</v>
      </c>
      <c r="E22">
        <v>5</v>
      </c>
      <c r="F22">
        <v>0.6180555555555556</v>
      </c>
      <c r="G22">
        <v>5</v>
      </c>
      <c r="H22">
        <v>0.6180555555555556</v>
      </c>
      <c r="I22">
        <v>5</v>
      </c>
      <c r="J22">
        <v>0.6180555555555556</v>
      </c>
      <c r="K22">
        <v>5</v>
      </c>
      <c r="L22">
        <v>0.6180555555555556</v>
      </c>
      <c r="M22">
        <v>5</v>
      </c>
      <c r="N22">
        <v>0.6180555555555556</v>
      </c>
      <c r="P22" t="str">
        <v>○</v>
      </c>
      <c r="Q22" t="str">
        <v>人権教室4年③(学1)</v>
      </c>
    </row>
    <row r="23">
      <c r="A23">
        <v>20</v>
      </c>
      <c r="B23" t="str">
        <v>土</v>
      </c>
    </row>
    <row r="24">
      <c r="A24">
        <v>21</v>
      </c>
      <c r="B24" t="str">
        <v>日</v>
      </c>
    </row>
    <row r="25" xml:space="preserve">
      <c r="A25">
        <v>22</v>
      </c>
      <c r="B25" t="str">
        <v>月</v>
      </c>
      <c r="C25">
        <v>5</v>
      </c>
      <c r="D25">
        <v>0.6006944444444444</v>
      </c>
      <c r="E25">
        <v>5</v>
      </c>
      <c r="F25">
        <v>0.6006944444444444</v>
      </c>
      <c r="G25">
        <v>5</v>
      </c>
      <c r="H25">
        <v>0.6006944444444444</v>
      </c>
      <c r="I25">
        <v>5</v>
      </c>
      <c r="J25">
        <v>0.6006944444444444</v>
      </c>
      <c r="K25">
        <v>5</v>
      </c>
      <c r="L25">
        <v>0.6006944444444444</v>
      </c>
      <c r="M25">
        <v>6</v>
      </c>
      <c r="N25">
        <v>0.6354166666666666</v>
      </c>
      <c r="P25" t="str">
        <v>○</v>
      </c>
      <c r="Q25" t="str" xml:space="preserve">
        <v xml:space="preserve">【火・木日程】市教育長訪問（午前）_x000d_
※７月時間割提出</v>
      </c>
    </row>
    <row r="26">
      <c r="A26">
        <v>23</v>
      </c>
      <c r="B26" t="str">
        <v>火</v>
      </c>
      <c r="C26">
        <v>4</v>
      </c>
      <c r="D26">
        <v>0.5868055555555556</v>
      </c>
      <c r="E26">
        <v>4</v>
      </c>
      <c r="F26">
        <v>0.5868055555555556</v>
      </c>
      <c r="G26">
        <v>5</v>
      </c>
      <c r="H26">
        <v>0.6180555555555556</v>
      </c>
      <c r="I26">
        <v>5</v>
      </c>
      <c r="J26">
        <v>0.6180555555555556</v>
      </c>
      <c r="K26">
        <v>5</v>
      </c>
      <c r="L26">
        <v>0.6180555555555556</v>
      </c>
      <c r="M26">
        <v>5</v>
      </c>
      <c r="N26">
        <v>0.6180555555555556</v>
      </c>
      <c r="P26" t="str">
        <v>○</v>
      </c>
      <c r="Q26" t="str">
        <v>【月・水・金日程】尿検査二次</v>
      </c>
    </row>
    <row r="27">
      <c r="A27">
        <v>24</v>
      </c>
      <c r="B27" t="str">
        <v>水</v>
      </c>
      <c r="C27">
        <v>5</v>
      </c>
      <c r="D27">
        <v>0.6180555555555556</v>
      </c>
      <c r="E27">
        <v>5</v>
      </c>
      <c r="F27">
        <v>0.6180555555555556</v>
      </c>
      <c r="G27">
        <v>5</v>
      </c>
      <c r="H27">
        <v>0.6180555555555556</v>
      </c>
      <c r="I27">
        <v>6</v>
      </c>
      <c r="J27">
        <v>0.6527777777777778</v>
      </c>
      <c r="K27">
        <v>6</v>
      </c>
      <c r="L27" t="str">
        <v>-</v>
      </c>
      <c r="M27">
        <v>6</v>
      </c>
      <c r="N27">
        <v>0.6527777777777778</v>
      </c>
      <c r="P27" t="str">
        <v>弁</v>
      </c>
      <c r="Q27" t="str">
        <v>宿泊学習1日目(5年:行2教4)、弁当日</v>
      </c>
    </row>
    <row r="28" xml:space="preserve">
      <c r="A28">
        <v>25</v>
      </c>
      <c r="B28" t="str">
        <v>木</v>
      </c>
      <c r="C28">
        <v>4</v>
      </c>
      <c r="D28">
        <v>0.5694444444444444</v>
      </c>
      <c r="E28">
        <v>5</v>
      </c>
      <c r="F28">
        <v>0.6006944444444444</v>
      </c>
      <c r="G28">
        <v>5</v>
      </c>
      <c r="H28">
        <v>0.6006944444444444</v>
      </c>
      <c r="I28">
        <v>6</v>
      </c>
      <c r="J28">
        <v>0.6354166666666666</v>
      </c>
      <c r="K28">
        <v>6</v>
      </c>
      <c r="L28">
        <v>0.6666666666666666</v>
      </c>
      <c r="M28">
        <v>6</v>
      </c>
      <c r="N28">
        <v>0.6354166666666666</v>
      </c>
      <c r="P28" t="str">
        <v>弁</v>
      </c>
      <c r="Q28" t="str" xml:space="preserve">
        <v xml:space="preserve">宿泊学習2日目(5年:行2教4)、弁当日_x000d_
※口座振替日2</v>
      </c>
    </row>
    <row r="29">
      <c r="A29">
        <v>26</v>
      </c>
      <c r="B29" t="str">
        <v>金</v>
      </c>
      <c r="C29">
        <v>5</v>
      </c>
      <c r="D29">
        <v>0.6180555555555556</v>
      </c>
      <c r="E29">
        <v>5</v>
      </c>
      <c r="F29">
        <v>0.6180555555555556</v>
      </c>
      <c r="G29">
        <v>5</v>
      </c>
      <c r="H29">
        <v>0.6180555555555556</v>
      </c>
      <c r="I29">
        <v>5</v>
      </c>
      <c r="J29">
        <v>0.6180555555555556</v>
      </c>
      <c r="K29">
        <v>5</v>
      </c>
      <c r="L29">
        <v>0.6180555555555556</v>
      </c>
      <c r="M29">
        <v>5</v>
      </c>
      <c r="N29">
        <v>0.6180555555555556</v>
      </c>
      <c r="P29" t="str">
        <v>○</v>
      </c>
    </row>
    <row r="30">
      <c r="A30">
        <v>27</v>
      </c>
      <c r="B30" t="str">
        <v>土</v>
      </c>
    </row>
    <row r="31">
      <c r="A31">
        <v>28</v>
      </c>
      <c r="B31" t="str">
        <v>日</v>
      </c>
    </row>
    <row r="32">
      <c r="A32">
        <v>29</v>
      </c>
      <c r="B32" t="str">
        <v>月</v>
      </c>
      <c r="C32">
        <v>4</v>
      </c>
      <c r="D32">
        <v>0.5868055555555556</v>
      </c>
      <c r="E32">
        <v>4</v>
      </c>
      <c r="F32">
        <v>0.5868055555555556</v>
      </c>
      <c r="G32">
        <v>5</v>
      </c>
      <c r="H32">
        <v>0.6180555555555556</v>
      </c>
      <c r="I32">
        <v>5</v>
      </c>
      <c r="J32">
        <v>0.6180555555555556</v>
      </c>
      <c r="K32">
        <v>5</v>
      </c>
      <c r="L32">
        <v>0.6180555555555556</v>
      </c>
      <c r="M32">
        <v>6</v>
      </c>
      <c r="N32">
        <v>0.6527777777777778</v>
      </c>
      <c r="P32" t="str">
        <v>○</v>
      </c>
    </row>
    <row r="33">
      <c r="A33">
        <v>30</v>
      </c>
      <c r="B33" t="str">
        <v>火</v>
      </c>
      <c r="C33">
        <v>5</v>
      </c>
      <c r="D33">
        <v>0.6006944444444444</v>
      </c>
      <c r="E33">
        <v>5</v>
      </c>
      <c r="F33">
        <v>0.6006944444444444</v>
      </c>
      <c r="G33">
        <v>5</v>
      </c>
      <c r="H33">
        <v>0.6006944444444444</v>
      </c>
      <c r="I33">
        <v>6</v>
      </c>
      <c r="J33">
        <v>0.6354166666666666</v>
      </c>
      <c r="K33">
        <v>6</v>
      </c>
      <c r="L33">
        <v>0.6354166666666666</v>
      </c>
      <c r="M33">
        <v>6</v>
      </c>
      <c r="N33">
        <v>0.6354166666666666</v>
      </c>
      <c r="P33" t="str">
        <v>○</v>
      </c>
      <c r="Q33" t="str">
        <v>食に関する授業②③(2年:学1)、クラブ活動3(上:ク1)※月末統計</v>
      </c>
    </row>
    <row r="34" xml:space="preserve">
      <c r="A34" t="str" xml:space="preserve">
        <v xml:space="preserve">留_x000d_
意_x000d_
点</v>
      </c>
      <c r="B34" t="str" xml:space="preserve">
        <v xml:space="preserve">○6/2(火)は現職全体授業のため、5校時に。6/1(月)が6校時に。6/8(月)に児童会活動日を移動しました。_x000d_
○5/19(火)のクラブ活動を、6/30(火)に移動しました。_x000d_
○4～6年生の人権教室が第1候補で入っております。第2候補の方も予定で入れておいてください(学活1)。_x000d_
　4年:6/15(月)④、5年:6/11(木)④、6年:6/16(火)④_x000d_
○6/18(木)に職員会議が移動したため、短縮になります。1～6年生の下校時刻も変更になります。_x000d_
　4～6年生は、6/17(水)が6校時に、6/18(木)が5校時になります。_x000d_
○6/22(月)の市教育長訪問が、7/10(金)になりました。時数や下校時間等は変わりません。_x000d_
○内科検診の変更　6/2(火)…まゆ・さく、1、3、6年、6/3(水)…2、4、5年</v>
      </c>
    </row>
    <row r="35">
      <c r="B35">
        <f>F2</f>
        <v>6</v>
      </c>
      <c r="C35" t="str">
        <v>月</v>
      </c>
      <c r="D35" t="str">
        <v>実施時数予定</v>
      </c>
    </row>
    <row r="36">
      <c r="C36" t="str">
        <v>１年</v>
      </c>
      <c r="E36" t="str">
        <v>２年</v>
      </c>
      <c r="G36" t="str">
        <v>３年</v>
      </c>
      <c r="I36" t="str">
        <v>４年</v>
      </c>
      <c r="K36" t="str">
        <v>５年</v>
      </c>
      <c r="M36" t="str">
        <v>６年</v>
      </c>
      <c r="O36" t="str">
        <v>Ｍ時数</v>
      </c>
      <c r="P36" t="str">
        <v>食数</v>
      </c>
    </row>
    <row r="37">
      <c r="A37" t="str">
        <v>実施できる時数</v>
      </c>
      <c r="C37">
        <f>SUM(C4:C33)</f>
        <v>99</v>
      </c>
      <c r="E37">
        <f>SUM(E4:E33)+O37</f>
        <v>105</v>
      </c>
      <c r="G37">
        <f>SUM(G4:G33)+O37</f>
        <v>111</v>
      </c>
      <c r="I37">
        <f>SUM(I4:I33)+O37</f>
        <v>121</v>
      </c>
      <c r="K37">
        <f>SUM(K4:K33)+O37</f>
        <v>121</v>
      </c>
      <c r="M37">
        <f>SUM(M4:M33)+O37</f>
        <v>123</v>
      </c>
      <c r="P37">
        <f>COUNTIF(P3:P33,"○")</f>
        <v>20</v>
      </c>
    </row>
    <row r="38">
      <c r="A38" t="str">
        <v>計画された時数</v>
      </c>
      <c r="C38">
        <v>99</v>
      </c>
      <c r="E38">
        <v>104</v>
      </c>
      <c r="G38">
        <v>111</v>
      </c>
      <c r="I38">
        <v>120</v>
      </c>
      <c r="K38">
        <v>121</v>
      </c>
      <c r="M38">
        <v>122</v>
      </c>
    </row>
    <row r="39">
      <c r="A39" t="str">
        <v>6月余剰時数</v>
      </c>
      <c r="C39">
        <f>C37-C38</f>
        <v>0</v>
      </c>
      <c r="E39">
        <f>E37-E38</f>
        <v>1</v>
      </c>
      <c r="G39">
        <f>G37-G38</f>
        <v>0</v>
      </c>
      <c r="I39">
        <f>I37-I38</f>
        <v>1</v>
      </c>
      <c r="K39">
        <f>K37-K38</f>
        <v>0</v>
      </c>
      <c r="M39">
        <f>M37-M38</f>
        <v>1</v>
      </c>
    </row>
    <row r="40">
      <c r="Q40">
        <v>3</v>
      </c>
    </row>
  </sheetData>
  <mergeCells count="42">
    <mergeCell ref="M38:N38"/>
    <mergeCell ref="A39:B39"/>
    <mergeCell ref="C39:D39"/>
    <mergeCell ref="E39:F39"/>
    <mergeCell ref="G39:H39"/>
    <mergeCell ref="I39:J39"/>
    <mergeCell ref="K39:L39"/>
    <mergeCell ref="M39:N39"/>
    <mergeCell ref="A38:B38"/>
    <mergeCell ref="C38:D38"/>
    <mergeCell ref="E38:F38"/>
    <mergeCell ref="G38:H38"/>
    <mergeCell ref="I38:J38"/>
    <mergeCell ref="K38:L38"/>
    <mergeCell ref="R36:W36"/>
    <mergeCell ref="A37:B37"/>
    <mergeCell ref="C37:D37"/>
    <mergeCell ref="E37:F37"/>
    <mergeCell ref="G37:H37"/>
    <mergeCell ref="I37:J37"/>
    <mergeCell ref="K37:L37"/>
    <mergeCell ref="M37:N37"/>
    <mergeCell ref="M3:N3"/>
    <mergeCell ref="B34:Q34"/>
    <mergeCell ref="D35:G35"/>
    <mergeCell ref="A36:B36"/>
    <mergeCell ref="C36:D36"/>
    <mergeCell ref="E36:F36"/>
    <mergeCell ref="G36:H36"/>
    <mergeCell ref="I36:J36"/>
    <mergeCell ref="K36:L36"/>
    <mergeCell ref="M36:N36"/>
    <mergeCell ref="C3:D3"/>
    <mergeCell ref="E3:F3"/>
    <mergeCell ref="G3:H3"/>
    <mergeCell ref="I3:J3"/>
    <mergeCell ref="K3:L3"/>
    <mergeCell ref="A1:D1"/>
    <mergeCell ref="F1:Q1"/>
    <mergeCell ref="A2:D2"/>
    <mergeCell ref="H2:P2"/>
    <mergeCell ref="R2:W2"/>
  </mergeCells>
  <pageMargins left="0.3937007874015748" right="0.3937007874015748" top="0.3937007874015748" bottom="0.3937007874015748" header="0.31496062992125984" footer="0.31496062992125984"/>
  <ignoredErrors>
    <ignoredError numberStoredAsText="1" sqref="A1:W41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W42"/>
  <sheetViews>
    <sheetView workbookViewId="0" rightToLeft="0"/>
  </sheetViews>
  <sheetData>
    <row r="1">
      <c r="P1">
        <f>NOW()</f>
        <v>46272.46801145833</v>
      </c>
    </row>
    <row r="2">
      <c r="A2" t="str">
        <v>令和８年度</v>
      </c>
      <c r="F2">
        <v>7</v>
      </c>
      <c r="G2" t="str">
        <v>月</v>
      </c>
      <c r="H2" t="str">
        <v>授業時数･下校予定時刻一覧表</v>
      </c>
      <c r="Q2" t="str">
        <v>本宮市立本宮まゆみ小学校</v>
      </c>
    </row>
    <row r="3">
      <c r="A3" t="str">
        <v>日</v>
      </c>
      <c r="B3" t="str">
        <v>曜</v>
      </c>
      <c r="C3" t="str">
        <v>１学年</v>
      </c>
      <c r="E3" t="str">
        <v>２学年</v>
      </c>
      <c r="G3" t="str">
        <v>３学年</v>
      </c>
      <c r="I3" t="str">
        <v>４学年</v>
      </c>
      <c r="K3" t="str">
        <v>５学年</v>
      </c>
      <c r="M3" t="str">
        <v>６学年</v>
      </c>
      <c r="O3" t="str">
        <v>特別日程</v>
      </c>
      <c r="P3" t="str">
        <v>給食</v>
      </c>
      <c r="Q3" t="str">
        <v>行　　事　　等</v>
      </c>
    </row>
    <row r="4">
      <c r="A4">
        <v>1</v>
      </c>
      <c r="B4" t="str">
        <v>水</v>
      </c>
      <c r="C4">
        <v>4</v>
      </c>
      <c r="D4">
        <v>0.5868055555555556</v>
      </c>
      <c r="E4">
        <v>5</v>
      </c>
      <c r="F4">
        <v>0.6180555555555556</v>
      </c>
      <c r="G4">
        <v>5</v>
      </c>
      <c r="H4">
        <v>0.6180555555555556</v>
      </c>
      <c r="I4">
        <v>6</v>
      </c>
      <c r="J4">
        <v>0.6527777777777778</v>
      </c>
      <c r="K4">
        <v>6</v>
      </c>
      <c r="L4">
        <v>0.6527777777777778</v>
      </c>
      <c r="M4">
        <v>6</v>
      </c>
      <c r="N4">
        <v>0.6527777777777778</v>
      </c>
      <c r="P4" t="str">
        <v>○</v>
      </c>
      <c r="Q4" t="str">
        <v>歯科教室②2-1、3-1③2-2、3-2、安全点検</v>
      </c>
    </row>
    <row r="5">
      <c r="A5">
        <v>2</v>
      </c>
      <c r="B5" t="str">
        <v>木</v>
      </c>
      <c r="C5">
        <v>4</v>
      </c>
      <c r="D5">
        <v>0.5694444444444444</v>
      </c>
      <c r="E5">
        <v>5</v>
      </c>
      <c r="F5">
        <v>0.6006944444444444</v>
      </c>
      <c r="G5">
        <v>5</v>
      </c>
      <c r="H5">
        <v>0.6006944444444444</v>
      </c>
      <c r="I5">
        <v>6</v>
      </c>
      <c r="J5">
        <v>0.6354166666666666</v>
      </c>
      <c r="K5">
        <v>6</v>
      </c>
      <c r="L5">
        <v>0.6354166666666666</v>
      </c>
      <c r="M5">
        <v>6</v>
      </c>
      <c r="N5">
        <v>0.6354166666666666</v>
      </c>
      <c r="P5" t="str">
        <v>○</v>
      </c>
      <c r="Q5" t="str">
        <v>防犯教室③(全:行1)</v>
      </c>
    </row>
    <row r="6" xml:space="preserve">
      <c r="A6">
        <v>3</v>
      </c>
      <c r="B6" t="str">
        <v>金</v>
      </c>
      <c r="C6">
        <v>5</v>
      </c>
      <c r="D6">
        <v>0.5833333333333334</v>
      </c>
      <c r="E6">
        <v>5</v>
      </c>
      <c r="F6">
        <v>0.5833333333333334</v>
      </c>
      <c r="G6">
        <v>5</v>
      </c>
      <c r="H6">
        <v>0.5833333333333334</v>
      </c>
      <c r="I6">
        <v>5</v>
      </c>
      <c r="J6">
        <v>0.5833333333333334</v>
      </c>
      <c r="K6">
        <v>5</v>
      </c>
      <c r="L6">
        <v>0.5833333333333334</v>
      </c>
      <c r="M6">
        <v>5</v>
      </c>
      <c r="N6">
        <v>0.5833333333333334</v>
      </c>
      <c r="O6" t="str">
        <v>短縮</v>
      </c>
      <c r="P6" t="str">
        <v>○</v>
      </c>
      <c r="Q6" t="str" xml:space="preserve">
        <v xml:space="preserve">【短】授業参観、学年学級懇談会_x000d_
歯科教室⑤1年、◇PTA本部役員会3</v>
      </c>
    </row>
    <row r="7">
      <c r="A7">
        <v>4</v>
      </c>
      <c r="B7" t="str">
        <v>土</v>
      </c>
    </row>
    <row r="8">
      <c r="A8">
        <v>5</v>
      </c>
      <c r="B8" t="str">
        <v>日</v>
      </c>
    </row>
    <row r="9">
      <c r="A9">
        <v>6</v>
      </c>
      <c r="B9" t="str">
        <v>月</v>
      </c>
      <c r="C9">
        <v>4</v>
      </c>
      <c r="D9">
        <v>0.5868055555555556</v>
      </c>
      <c r="E9">
        <v>4</v>
      </c>
      <c r="F9">
        <v>0.5868055555555556</v>
      </c>
      <c r="G9">
        <v>5</v>
      </c>
      <c r="H9">
        <v>0.6180555555555556</v>
      </c>
      <c r="I9">
        <v>6</v>
      </c>
      <c r="J9">
        <v>0.6527777777777778</v>
      </c>
      <c r="K9">
        <v>6</v>
      </c>
      <c r="L9">
        <v>0.6527777777777778</v>
      </c>
      <c r="M9">
        <v>6</v>
      </c>
      <c r="N9">
        <v>0.6527777777777778</v>
      </c>
      <c r="P9" t="str">
        <v>○</v>
      </c>
      <c r="Q9" t="str">
        <v>※6月月案反省提出</v>
      </c>
    </row>
    <row r="10" xml:space="preserve">
      <c r="A10">
        <v>7</v>
      </c>
      <c r="B10" t="str">
        <v>火</v>
      </c>
      <c r="C10">
        <v>4</v>
      </c>
      <c r="D10">
        <v>0.5694444444444444</v>
      </c>
      <c r="E10">
        <v>5</v>
      </c>
      <c r="F10">
        <v>0.6006944444444444</v>
      </c>
      <c r="G10">
        <v>5</v>
      </c>
      <c r="H10">
        <v>0.6006944444444444</v>
      </c>
      <c r="I10">
        <v>6</v>
      </c>
      <c r="J10">
        <v>0.6354166666666666</v>
      </c>
      <c r="K10">
        <v>6</v>
      </c>
      <c r="L10">
        <v>0.6354166666666666</v>
      </c>
      <c r="M10">
        <v>6</v>
      </c>
      <c r="N10">
        <v>0.6354166666666666</v>
      </c>
      <c r="P10" t="str">
        <v>○</v>
      </c>
      <c r="Q10" t="str" xml:space="preserve">
        <v xml:space="preserve">児童会委員会(上:児1)、_x000d_
歯科教室②4-1、5-1③4-2、5-2④6年_x000d_
生徒指導・現職教育委員会</v>
      </c>
    </row>
    <row r="11">
      <c r="A11">
        <v>8</v>
      </c>
      <c r="B11" t="str">
        <v>水</v>
      </c>
      <c r="C11">
        <v>4</v>
      </c>
      <c r="D11">
        <v>0.5868055555555556</v>
      </c>
      <c r="E11">
        <v>5</v>
      </c>
      <c r="F11">
        <v>0.6180555555555556</v>
      </c>
      <c r="G11">
        <v>6</v>
      </c>
      <c r="H11">
        <v>0.6527777777777778</v>
      </c>
      <c r="I11">
        <v>6</v>
      </c>
      <c r="J11">
        <v>0.6527777777777778</v>
      </c>
      <c r="K11">
        <v>6</v>
      </c>
      <c r="L11">
        <v>0.6527777777777778</v>
      </c>
      <c r="M11">
        <v>6</v>
      </c>
      <c r="N11">
        <v>0.6527777777777778</v>
      </c>
      <c r="P11" t="str">
        <v>○</v>
      </c>
    </row>
    <row r="12">
      <c r="A12">
        <v>9</v>
      </c>
      <c r="B12" t="str">
        <v>木</v>
      </c>
      <c r="C12">
        <v>5</v>
      </c>
      <c r="D12">
        <v>0.6006944444444444</v>
      </c>
      <c r="E12">
        <v>5</v>
      </c>
      <c r="F12">
        <v>0.6006944444444444</v>
      </c>
      <c r="G12">
        <v>5</v>
      </c>
      <c r="H12">
        <v>0.6006944444444444</v>
      </c>
      <c r="I12">
        <v>5</v>
      </c>
      <c r="J12">
        <v>0.6006944444444444</v>
      </c>
      <c r="K12">
        <v>5</v>
      </c>
      <c r="L12">
        <v>0.6006944444444444</v>
      </c>
      <c r="M12">
        <v>5</v>
      </c>
      <c r="N12">
        <v>0.6006944444444444</v>
      </c>
      <c r="P12" t="str">
        <v>○</v>
      </c>
      <c r="Q12" t="str">
        <v>キャリア教育講演会</v>
      </c>
    </row>
    <row r="13" xml:space="preserve">
      <c r="A13">
        <v>10</v>
      </c>
      <c r="B13" t="str">
        <v>金</v>
      </c>
      <c r="C13">
        <v>5</v>
      </c>
      <c r="D13">
        <v>0.5833333333333334</v>
      </c>
      <c r="E13">
        <v>5</v>
      </c>
      <c r="F13">
        <v>0.5833333333333334</v>
      </c>
      <c r="G13">
        <v>5</v>
      </c>
      <c r="H13">
        <v>0.5833333333333334</v>
      </c>
      <c r="I13">
        <v>5</v>
      </c>
      <c r="J13">
        <v>0.5833333333333334</v>
      </c>
      <c r="K13">
        <v>5</v>
      </c>
      <c r="L13">
        <v>0.5833333333333334</v>
      </c>
      <c r="M13">
        <v>5</v>
      </c>
      <c r="N13">
        <v>0.5833333333333334</v>
      </c>
      <c r="O13" t="str">
        <v>短縮</v>
      </c>
      <c r="P13" t="str">
        <v>○</v>
      </c>
      <c r="Q13" t="str" xml:space="preserve">
        <v xml:space="preserve">【短】市教育長訪問(午前)、_x000d_
漢字検定　※口座振替日1</v>
      </c>
    </row>
    <row r="14">
      <c r="A14">
        <v>11</v>
      </c>
      <c r="B14" t="str">
        <v>土</v>
      </c>
    </row>
    <row r="15">
      <c r="A15">
        <v>12</v>
      </c>
      <c r="B15" t="str">
        <v>日</v>
      </c>
    </row>
    <row r="16" xml:space="preserve">
      <c r="A16">
        <v>13</v>
      </c>
      <c r="B16" t="str">
        <v>月</v>
      </c>
      <c r="C16">
        <v>4</v>
      </c>
      <c r="D16">
        <v>0.5868055555555556</v>
      </c>
      <c r="E16">
        <v>4</v>
      </c>
      <c r="F16">
        <v>0.5868055555555556</v>
      </c>
      <c r="G16">
        <v>5</v>
      </c>
      <c r="H16">
        <v>0.6180555555555556</v>
      </c>
      <c r="I16">
        <v>5</v>
      </c>
      <c r="J16">
        <v>0.6180555555555556</v>
      </c>
      <c r="K16">
        <v>5</v>
      </c>
      <c r="L16">
        <v>0.6180555555555556</v>
      </c>
      <c r="M16">
        <v>6</v>
      </c>
      <c r="N16">
        <v>0.6527777777777778</v>
      </c>
      <c r="P16" t="str">
        <v>○</v>
      </c>
      <c r="Q16" t="str" xml:space="preserve">
        <v xml:space="preserve">水泳記録会(～16日まで)、_x000d_
校内就学指導委員会2</v>
      </c>
    </row>
    <row r="17">
      <c r="A17">
        <v>14</v>
      </c>
      <c r="B17" t="str">
        <v>火</v>
      </c>
      <c r="C17">
        <v>5</v>
      </c>
      <c r="D17">
        <v>0.6006944444444444</v>
      </c>
      <c r="E17">
        <v>5</v>
      </c>
      <c r="F17">
        <v>0.6006944444444444</v>
      </c>
      <c r="G17">
        <v>5</v>
      </c>
      <c r="H17">
        <v>0.6006944444444444</v>
      </c>
      <c r="I17">
        <v>6</v>
      </c>
      <c r="J17">
        <v>0.6354166666666666</v>
      </c>
      <c r="K17">
        <v>6</v>
      </c>
      <c r="L17">
        <v>0.6354166666666666</v>
      </c>
      <c r="M17">
        <v>6</v>
      </c>
      <c r="N17">
        <v>0.6354166666666666</v>
      </c>
      <c r="P17" t="str">
        <v>○</v>
      </c>
    </row>
    <row r="18">
      <c r="A18">
        <v>15</v>
      </c>
      <c r="B18" t="str">
        <v>水</v>
      </c>
      <c r="C18">
        <v>5</v>
      </c>
      <c r="D18">
        <v>0.6006944444444444</v>
      </c>
      <c r="E18">
        <v>5</v>
      </c>
      <c r="F18">
        <v>0.6006944444444444</v>
      </c>
      <c r="G18">
        <v>5</v>
      </c>
      <c r="H18">
        <v>0.6006944444444444</v>
      </c>
      <c r="I18">
        <v>6</v>
      </c>
      <c r="J18">
        <v>0.6354166666666666</v>
      </c>
      <c r="K18">
        <v>6</v>
      </c>
      <c r="L18">
        <v>0.6354166666666666</v>
      </c>
      <c r="M18">
        <v>6</v>
      </c>
      <c r="N18">
        <v>0.6354166666666666</v>
      </c>
      <c r="P18" t="str">
        <v>○</v>
      </c>
      <c r="Q18" t="str">
        <v>【火木】</v>
      </c>
    </row>
    <row r="19">
      <c r="A19">
        <v>16</v>
      </c>
      <c r="B19" t="str">
        <v>木</v>
      </c>
      <c r="C19">
        <v>4</v>
      </c>
      <c r="D19">
        <v>0.5868055555555556</v>
      </c>
      <c r="E19">
        <v>5</v>
      </c>
      <c r="F19">
        <v>0.6180555555555556</v>
      </c>
      <c r="G19">
        <v>5</v>
      </c>
      <c r="H19">
        <v>0.6180555555555556</v>
      </c>
      <c r="I19">
        <v>5</v>
      </c>
      <c r="J19">
        <v>0.6180555555555556</v>
      </c>
      <c r="K19">
        <v>5</v>
      </c>
      <c r="L19">
        <v>0.6180555555555556</v>
      </c>
      <c r="M19">
        <v>5</v>
      </c>
      <c r="N19">
        <v>0.6180555555555556</v>
      </c>
      <c r="P19" t="str">
        <v>○</v>
      </c>
      <c r="Q19" t="str">
        <v>【月水金】第1回校内美化活動⑤（全：行1）、ワックスがけ1</v>
      </c>
    </row>
    <row r="20" xml:space="preserve">
      <c r="A20">
        <v>17</v>
      </c>
      <c r="B20" t="str">
        <v>金</v>
      </c>
      <c r="C20">
        <v>4</v>
      </c>
      <c r="D20">
        <v>0.5</v>
      </c>
      <c r="E20">
        <v>4</v>
      </c>
      <c r="F20">
        <v>0.5</v>
      </c>
      <c r="G20">
        <v>4</v>
      </c>
      <c r="H20">
        <v>0.5</v>
      </c>
      <c r="I20">
        <v>4</v>
      </c>
      <c r="J20">
        <v>0.5</v>
      </c>
      <c r="K20">
        <v>4</v>
      </c>
      <c r="L20">
        <v>0.5</v>
      </c>
      <c r="M20">
        <v>4</v>
      </c>
      <c r="N20">
        <v>0.5</v>
      </c>
      <c r="O20" t="str">
        <v>特別</v>
      </c>
      <c r="P20" t="str">
        <v>×</v>
      </c>
      <c r="Q20" t="str" xml:space="preserve">
        <v xml:space="preserve">【特】第1学期終業式、職員会議_x000d_
※月末・学年末統計</v>
      </c>
    </row>
    <row r="21">
      <c r="A21">
        <v>18</v>
      </c>
      <c r="B21" t="str">
        <v>土</v>
      </c>
    </row>
    <row r="22">
      <c r="A22">
        <v>19</v>
      </c>
      <c r="B22" t="str">
        <v>日</v>
      </c>
    </row>
    <row r="23">
      <c r="A23">
        <v>20</v>
      </c>
      <c r="B23" t="str">
        <v>月</v>
      </c>
      <c r="Q23" t="str">
        <v>海の日</v>
      </c>
    </row>
    <row r="24">
      <c r="A24">
        <v>21</v>
      </c>
      <c r="B24" t="str">
        <v>火</v>
      </c>
      <c r="Q24" t="str">
        <v>夏季休業</v>
      </c>
    </row>
    <row r="25">
      <c r="A25">
        <v>22</v>
      </c>
      <c r="B25" t="str">
        <v>水</v>
      </c>
    </row>
    <row r="26">
      <c r="A26">
        <v>23</v>
      </c>
      <c r="B26" t="str">
        <v>木</v>
      </c>
      <c r="Q26" t="str">
        <v>小教研前期研究協議会</v>
      </c>
    </row>
    <row r="27">
      <c r="A27">
        <v>24</v>
      </c>
      <c r="B27" t="str">
        <v>金</v>
      </c>
    </row>
    <row r="28">
      <c r="A28">
        <v>25</v>
      </c>
      <c r="B28" t="str">
        <v>土</v>
      </c>
      <c r="Q28" t="str">
        <v>算数検定</v>
      </c>
    </row>
    <row r="29">
      <c r="A29">
        <v>26</v>
      </c>
      <c r="B29" t="str">
        <v>日</v>
      </c>
    </row>
    <row r="30">
      <c r="A30">
        <v>27</v>
      </c>
      <c r="B30" t="str">
        <v>月</v>
      </c>
      <c r="Q30" t="str">
        <v>※口座振替日2</v>
      </c>
    </row>
    <row r="31" xml:space="preserve">
      <c r="A31">
        <v>28</v>
      </c>
      <c r="B31" t="str">
        <v>火</v>
      </c>
      <c r="Q31" t="str" xml:space="preserve">
        <v xml:space="preserve">※諸表簿提出_x000d_
※8月・9月時間割提出</v>
      </c>
    </row>
    <row r="32">
      <c r="A32">
        <v>29</v>
      </c>
      <c r="B32" t="str">
        <v>水</v>
      </c>
    </row>
    <row r="33">
      <c r="A33">
        <v>30</v>
      </c>
      <c r="B33" t="str">
        <v>木</v>
      </c>
    </row>
    <row r="34">
      <c r="A34">
        <v>31</v>
      </c>
      <c r="B34" t="str">
        <v>金</v>
      </c>
    </row>
    <row r="35" xml:space="preserve">
      <c r="A35" t="str" xml:space="preserve">
        <v xml:space="preserve">留_x000d_
意_x000d_
点</v>
      </c>
      <c r="B35" t="str" xml:space="preserve">
        <v xml:space="preserve">○歯科教室の日程が変更になっております。7/1(水)②2-1、3-1③2-2、3-2　7/3(金)⑤1年　7/7(火)②4-1、5-1③4-2、5-2④6年_x000d_
○7/9(木)キャリア教育講演会のため、5校時に。7/6(月)が6校時に。生徒指導・現職教育委員会が7/7(火)になります。_x000d_
○7/10(金)午前に市教育長訪問があります。</v>
      </c>
    </row>
    <row r="36">
      <c r="B36">
        <f>F2</f>
        <v>7</v>
      </c>
      <c r="C36" t="str">
        <v>月</v>
      </c>
      <c r="D36" t="str">
        <v>実施時数予定</v>
      </c>
    </row>
    <row r="37">
      <c r="C37" t="str">
        <v>１年</v>
      </c>
      <c r="E37" t="str">
        <v>２年</v>
      </c>
      <c r="G37" t="str">
        <v>３年</v>
      </c>
      <c r="I37" t="str">
        <v>４年</v>
      </c>
      <c r="K37" t="str">
        <v>５年</v>
      </c>
      <c r="M37" t="str">
        <v>６年</v>
      </c>
      <c r="O37" t="str">
        <v>Ｍ時数</v>
      </c>
      <c r="P37" t="str">
        <v>食数</v>
      </c>
    </row>
    <row r="38">
      <c r="A38" t="str">
        <v>実施できる時数</v>
      </c>
      <c r="C38">
        <f>SUM(C4:C34)</f>
        <v>57</v>
      </c>
      <c r="E38">
        <f>SUM(E4:E34)+O38</f>
        <v>62</v>
      </c>
      <c r="G38">
        <f>SUM(G4:G34)+O38</f>
        <v>65</v>
      </c>
      <c r="I38">
        <f>SUM(I4:I34)+Q38</f>
        <v>71</v>
      </c>
      <c r="K38">
        <f>SUM(K4:K34)+S38</f>
        <v>71</v>
      </c>
      <c r="M38">
        <f>SUM(M4:M34)+U38</f>
        <v>72</v>
      </c>
      <c r="P38">
        <f>COUNTIF(P4:P34,"○")</f>
        <v>12</v>
      </c>
    </row>
    <row r="39">
      <c r="A39" t="str">
        <v>計画された時数</v>
      </c>
      <c r="C39">
        <v>57</v>
      </c>
      <c r="E39">
        <v>62</v>
      </c>
      <c r="G39">
        <v>65</v>
      </c>
      <c r="I39">
        <v>71</v>
      </c>
      <c r="K39">
        <v>71</v>
      </c>
      <c r="M39">
        <v>72</v>
      </c>
    </row>
    <row r="40">
      <c r="A40" t="str">
        <v>7月余剰時数</v>
      </c>
      <c r="C40">
        <f>C38-C39</f>
        <v>0</v>
      </c>
      <c r="E40">
        <f>E38-E39</f>
        <v>0</v>
      </c>
      <c r="G40">
        <f>G38-G39</f>
        <v>0</v>
      </c>
      <c r="I40">
        <f>I38-I39</f>
        <v>0</v>
      </c>
      <c r="K40">
        <f>K38-K39</f>
        <v>0</v>
      </c>
      <c r="M40">
        <f>M38-M39</f>
        <v>0</v>
      </c>
    </row>
    <row r="41">
      <c r="Q41">
        <v>3</v>
      </c>
    </row>
  </sheetData>
  <mergeCells count="44">
    <mergeCell ref="R37:W37"/>
    <mergeCell ref="K38:L38"/>
    <mergeCell ref="M38:N38"/>
    <mergeCell ref="A1:D1"/>
    <mergeCell ref="P1:Q1"/>
    <mergeCell ref="A2:D2"/>
    <mergeCell ref="R2:W2"/>
    <mergeCell ref="H2:P2"/>
    <mergeCell ref="M3:N3"/>
    <mergeCell ref="R9:W9"/>
    <mergeCell ref="C3:D3"/>
    <mergeCell ref="E3:F3"/>
    <mergeCell ref="G3:H3"/>
    <mergeCell ref="I3:J3"/>
    <mergeCell ref="K3:L3"/>
    <mergeCell ref="R16:W16"/>
    <mergeCell ref="E37:F37"/>
    <mergeCell ref="G37:H37"/>
    <mergeCell ref="I37:J37"/>
    <mergeCell ref="M39:N39"/>
    <mergeCell ref="B35:Q35"/>
    <mergeCell ref="D36:G36"/>
    <mergeCell ref="A38:B38"/>
    <mergeCell ref="C38:D38"/>
    <mergeCell ref="E38:F38"/>
    <mergeCell ref="G38:H38"/>
    <mergeCell ref="I38:J38"/>
    <mergeCell ref="A37:B37"/>
    <mergeCell ref="C37:D37"/>
    <mergeCell ref="K37:L37"/>
    <mergeCell ref="M37:N37"/>
    <mergeCell ref="K40:L40"/>
    <mergeCell ref="M40:N40"/>
    <mergeCell ref="A39:B39"/>
    <mergeCell ref="C39:D39"/>
    <mergeCell ref="E39:F39"/>
    <mergeCell ref="G39:H39"/>
    <mergeCell ref="I39:J39"/>
    <mergeCell ref="K39:L39"/>
    <mergeCell ref="A40:B40"/>
    <mergeCell ref="C40:D40"/>
    <mergeCell ref="E40:F40"/>
    <mergeCell ref="G40:H40"/>
    <mergeCell ref="I40:J40"/>
  </mergeCells>
  <pageMargins left="0.31496062992125984" right="0.31496062992125984" top="0.3937007874015748" bottom="0.3937007874015748" header="0.31496062992125984" footer="0.31496062992125984"/>
  <ignoredErrors>
    <ignoredError numberStoredAsText="1" sqref="A1:W42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W42"/>
  <sheetViews>
    <sheetView workbookViewId="0" rightToLeft="0"/>
  </sheetViews>
  <sheetData>
    <row r="1">
      <c r="P1">
        <f>NOW()</f>
        <v>46272.46801145833</v>
      </c>
    </row>
    <row r="2">
      <c r="A2" t="str">
        <v>令和８年度</v>
      </c>
      <c r="F2">
        <v>7</v>
      </c>
      <c r="G2" t="str">
        <v>月</v>
      </c>
      <c r="H2" t="str">
        <v>授業時数･下校予定時刻一覧表(6/17版)</v>
      </c>
      <c r="Q2" t="str">
        <v>本宮市立本宮まゆみ小学校</v>
      </c>
    </row>
    <row r="3">
      <c r="A3" t="str">
        <v>日</v>
      </c>
      <c r="B3" t="str">
        <v>曜</v>
      </c>
      <c r="C3" t="str">
        <v>１学年</v>
      </c>
      <c r="E3" t="str">
        <v>２学年</v>
      </c>
      <c r="G3" t="str">
        <v>３学年</v>
      </c>
      <c r="I3" t="str">
        <v>４学年</v>
      </c>
      <c r="K3" t="str">
        <v>５学年</v>
      </c>
      <c r="M3" t="str">
        <v>６学年</v>
      </c>
      <c r="O3" t="str">
        <v>特別日程</v>
      </c>
      <c r="P3" t="str">
        <v>給食</v>
      </c>
      <c r="Q3" t="str">
        <v>行　　事　　等</v>
      </c>
    </row>
    <row r="4">
      <c r="A4">
        <v>1</v>
      </c>
      <c r="B4" t="str">
        <v>水</v>
      </c>
      <c r="C4">
        <v>4</v>
      </c>
      <c r="D4">
        <v>0.5868055555555556</v>
      </c>
      <c r="E4">
        <v>5</v>
      </c>
      <c r="F4">
        <v>0.6180555555555556</v>
      </c>
      <c r="G4">
        <v>5</v>
      </c>
      <c r="H4">
        <v>0.6180555555555556</v>
      </c>
      <c r="I4">
        <v>6</v>
      </c>
      <c r="J4">
        <v>0.6527777777777778</v>
      </c>
      <c r="K4">
        <v>6</v>
      </c>
      <c r="L4">
        <v>0.6527777777777778</v>
      </c>
      <c r="M4">
        <v>6</v>
      </c>
      <c r="N4">
        <v>0.6527777777777778</v>
      </c>
      <c r="P4" t="str">
        <v>○</v>
      </c>
      <c r="Q4" t="str">
        <v>歯科教室②2-1、3-1③2-2、3-2、安全点検</v>
      </c>
    </row>
    <row r="5">
      <c r="A5">
        <v>2</v>
      </c>
      <c r="B5" t="str">
        <v>木</v>
      </c>
      <c r="C5">
        <v>4</v>
      </c>
      <c r="D5">
        <v>0.5694444444444444</v>
      </c>
      <c r="E5">
        <v>5</v>
      </c>
      <c r="F5">
        <v>0.6006944444444444</v>
      </c>
      <c r="G5">
        <v>5</v>
      </c>
      <c r="H5">
        <v>0.6006944444444444</v>
      </c>
      <c r="I5">
        <v>6</v>
      </c>
      <c r="J5">
        <v>0.6354166666666666</v>
      </c>
      <c r="K5">
        <v>6</v>
      </c>
      <c r="L5">
        <v>0.6354166666666666</v>
      </c>
      <c r="M5">
        <v>6</v>
      </c>
      <c r="N5">
        <v>0.6354166666666666</v>
      </c>
      <c r="P5" t="str">
        <v>○</v>
      </c>
      <c r="Q5" t="str">
        <v>防犯教室③(全:行1)</v>
      </c>
    </row>
    <row r="6" xml:space="preserve">
      <c r="A6">
        <v>3</v>
      </c>
      <c r="B6" t="str">
        <v>金</v>
      </c>
      <c r="C6">
        <v>5</v>
      </c>
      <c r="D6">
        <v>0.5833333333333334</v>
      </c>
      <c r="E6">
        <v>5</v>
      </c>
      <c r="F6">
        <v>0.5833333333333334</v>
      </c>
      <c r="G6">
        <v>5</v>
      </c>
      <c r="H6">
        <v>0.5833333333333334</v>
      </c>
      <c r="I6">
        <v>5</v>
      </c>
      <c r="J6">
        <v>0.5833333333333334</v>
      </c>
      <c r="K6">
        <v>5</v>
      </c>
      <c r="L6">
        <v>0.5833333333333334</v>
      </c>
      <c r="M6">
        <v>5</v>
      </c>
      <c r="N6">
        <v>0.5833333333333334</v>
      </c>
      <c r="O6" t="str">
        <v>短縮</v>
      </c>
      <c r="P6" t="str">
        <v>○</v>
      </c>
      <c r="Q6" t="str" xml:space="preserve">
        <v xml:space="preserve">【短】授業参観、学年学級懇談会_x000d_
歯科教室⑤1年、◇PTA本部役員会3</v>
      </c>
    </row>
    <row r="7">
      <c r="A7">
        <v>4</v>
      </c>
      <c r="B7" t="str">
        <v>土</v>
      </c>
    </row>
    <row r="8">
      <c r="A8">
        <v>5</v>
      </c>
      <c r="B8" t="str">
        <v>日</v>
      </c>
    </row>
    <row r="9">
      <c r="A9">
        <v>6</v>
      </c>
      <c r="B9" t="str">
        <v>月</v>
      </c>
      <c r="C9">
        <v>4</v>
      </c>
      <c r="D9">
        <v>0.5868055555555556</v>
      </c>
      <c r="E9">
        <v>4</v>
      </c>
      <c r="F9">
        <v>0.5868055555555556</v>
      </c>
      <c r="G9">
        <v>5</v>
      </c>
      <c r="H9">
        <v>0.6180555555555556</v>
      </c>
      <c r="I9">
        <v>6</v>
      </c>
      <c r="J9">
        <v>0.6527777777777778</v>
      </c>
      <c r="K9">
        <v>6</v>
      </c>
      <c r="L9">
        <v>0.6527777777777778</v>
      </c>
      <c r="M9">
        <v>6</v>
      </c>
      <c r="N9">
        <v>0.6527777777777778</v>
      </c>
      <c r="P9" t="str">
        <v>○</v>
      </c>
      <c r="Q9" t="str">
        <v>※6月月案反省提出</v>
      </c>
    </row>
    <row r="10" xml:space="preserve">
      <c r="A10">
        <v>7</v>
      </c>
      <c r="B10" t="str">
        <v>火</v>
      </c>
      <c r="C10">
        <v>4</v>
      </c>
      <c r="D10">
        <v>0.5694444444444444</v>
      </c>
      <c r="E10">
        <v>5</v>
      </c>
      <c r="F10">
        <v>0.6006944444444444</v>
      </c>
      <c r="G10">
        <v>5</v>
      </c>
      <c r="H10">
        <v>0.6006944444444444</v>
      </c>
      <c r="I10">
        <v>6</v>
      </c>
      <c r="J10">
        <v>0.6354166666666666</v>
      </c>
      <c r="K10">
        <v>6</v>
      </c>
      <c r="L10">
        <v>0.6354166666666666</v>
      </c>
      <c r="M10">
        <v>6</v>
      </c>
      <c r="N10">
        <v>0.6354166666666666</v>
      </c>
      <c r="P10" t="str">
        <v>○</v>
      </c>
      <c r="Q10" t="str" xml:space="preserve">
        <v xml:space="preserve">_x000d_
歯科教室②4-1、5-1③4-2、5-2④6年_x000d_
生徒指導・現職教育委員会</v>
      </c>
    </row>
    <row r="11" xml:space="preserve">
      <c r="A11">
        <v>8</v>
      </c>
      <c r="B11" t="str">
        <v>水</v>
      </c>
      <c r="C11">
        <v>4</v>
      </c>
      <c r="D11">
        <v>0.5868055555555556</v>
      </c>
      <c r="E11">
        <v>5</v>
      </c>
      <c r="F11">
        <v>0.6180555555555556</v>
      </c>
      <c r="G11">
        <v>6</v>
      </c>
      <c r="H11">
        <v>0.6527777777777778</v>
      </c>
      <c r="I11">
        <v>6</v>
      </c>
      <c r="J11">
        <v>0.6527777777777778</v>
      </c>
      <c r="K11">
        <v>6</v>
      </c>
      <c r="L11">
        <v>0.6527777777777778</v>
      </c>
      <c r="M11">
        <v>6</v>
      </c>
      <c r="N11">
        <v>0.6527777777777778</v>
      </c>
      <c r="P11" t="str">
        <v>○</v>
      </c>
      <c r="Q11" t="str" xml:space="preserve">
        <v xml:space="preserve">下水道訪問授業③～⑥(４年)_x000d_
たなばた集会4年（昼の放送・企画委員会）</v>
      </c>
    </row>
    <row r="12" xml:space="preserve">
      <c r="A12">
        <v>9</v>
      </c>
      <c r="B12" t="str">
        <v>木</v>
      </c>
      <c r="C12">
        <v>5</v>
      </c>
      <c r="D12">
        <v>0.6006944444444444</v>
      </c>
      <c r="E12">
        <v>5</v>
      </c>
      <c r="F12">
        <v>0.6006944444444444</v>
      </c>
      <c r="G12">
        <v>5</v>
      </c>
      <c r="H12">
        <v>0.6006944444444444</v>
      </c>
      <c r="I12">
        <v>5</v>
      </c>
      <c r="J12">
        <v>0.6006944444444444</v>
      </c>
      <c r="K12">
        <v>5</v>
      </c>
      <c r="L12">
        <v>0.6006944444444444</v>
      </c>
      <c r="M12">
        <v>5</v>
      </c>
      <c r="N12">
        <v>0.6006944444444444</v>
      </c>
      <c r="P12" t="str">
        <v>○</v>
      </c>
      <c r="Q12" t="str" xml:space="preserve">
        <v xml:space="preserve">キャリア教育講演会_x000d_
たなばた集会5年（昼の放送・企画委員会）</v>
      </c>
    </row>
    <row r="13" xml:space="preserve">
      <c r="A13">
        <v>10</v>
      </c>
      <c r="B13" t="str">
        <v>金</v>
      </c>
      <c r="C13">
        <v>5</v>
      </c>
      <c r="D13">
        <v>0.5833333333333334</v>
      </c>
      <c r="E13">
        <v>5</v>
      </c>
      <c r="F13">
        <v>0.5833333333333334</v>
      </c>
      <c r="G13">
        <v>5</v>
      </c>
      <c r="H13">
        <v>0.5833333333333334</v>
      </c>
      <c r="I13">
        <v>5</v>
      </c>
      <c r="J13">
        <v>0.5833333333333334</v>
      </c>
      <c r="K13">
        <v>5</v>
      </c>
      <c r="L13">
        <v>0.5833333333333334</v>
      </c>
      <c r="M13">
        <v>5</v>
      </c>
      <c r="N13">
        <v>0.5833333333333334</v>
      </c>
      <c r="O13" t="str">
        <v>短縮</v>
      </c>
      <c r="P13" t="str">
        <v>○</v>
      </c>
      <c r="Q13" t="str" xml:space="preserve">
        <v xml:space="preserve">【短】市教育長訪問(午前)、_x000d_
漢字検定　※口座振替日1</v>
      </c>
    </row>
    <row r="14">
      <c r="A14">
        <v>11</v>
      </c>
      <c r="B14" t="str">
        <v>土</v>
      </c>
    </row>
    <row r="15">
      <c r="A15">
        <v>12</v>
      </c>
      <c r="B15" t="str">
        <v>日</v>
      </c>
    </row>
    <row r="16" xml:space="preserve">
      <c r="A16">
        <v>13</v>
      </c>
      <c r="B16" t="str">
        <v>月</v>
      </c>
      <c r="C16">
        <v>4</v>
      </c>
      <c r="D16">
        <v>0.5868055555555556</v>
      </c>
      <c r="E16">
        <v>4</v>
      </c>
      <c r="F16">
        <v>0.5868055555555556</v>
      </c>
      <c r="G16">
        <v>5</v>
      </c>
      <c r="H16">
        <v>0.6180555555555556</v>
      </c>
      <c r="I16">
        <v>5</v>
      </c>
      <c r="J16">
        <v>0.6180555555555556</v>
      </c>
      <c r="K16">
        <v>5</v>
      </c>
      <c r="L16">
        <v>0.6180555555555556</v>
      </c>
      <c r="M16">
        <v>5</v>
      </c>
      <c r="N16">
        <v>0.6180555555555556</v>
      </c>
      <c r="P16" t="str">
        <v>○</v>
      </c>
      <c r="Q16" t="str" xml:space="preserve">
        <v xml:space="preserve">水泳記録会(～16日まで)、_x000d_
校内就学指導委員会2_x000d_
たなばた集会6年（昼の放送・企画委員会）</v>
      </c>
    </row>
    <row r="17">
      <c r="A17">
        <v>14</v>
      </c>
      <c r="B17" t="str">
        <v>火</v>
      </c>
      <c r="C17">
        <v>4</v>
      </c>
      <c r="D17">
        <v>0.5694444444444444</v>
      </c>
      <c r="E17">
        <v>5</v>
      </c>
      <c r="F17">
        <v>0.6006944444444444</v>
      </c>
      <c r="G17">
        <v>5</v>
      </c>
      <c r="H17">
        <v>0.6006944444444444</v>
      </c>
      <c r="I17">
        <v>6</v>
      </c>
      <c r="J17">
        <v>0.6354166666666666</v>
      </c>
      <c r="K17">
        <v>6</v>
      </c>
      <c r="L17">
        <v>0.6354166666666666</v>
      </c>
      <c r="M17">
        <v>6</v>
      </c>
      <c r="N17">
        <v>0.6354166666666666</v>
      </c>
      <c r="P17" t="str">
        <v>○</v>
      </c>
      <c r="Q17" t="str">
        <v>児童会委員会(上:児1)</v>
      </c>
    </row>
    <row r="18">
      <c r="A18">
        <v>15</v>
      </c>
      <c r="B18" t="str">
        <v>水</v>
      </c>
      <c r="C18">
        <v>5</v>
      </c>
      <c r="D18">
        <v>0.6006944444444444</v>
      </c>
      <c r="E18">
        <v>5</v>
      </c>
      <c r="F18">
        <v>0.6006944444444444</v>
      </c>
      <c r="G18">
        <v>5</v>
      </c>
      <c r="H18">
        <v>0.6006944444444444</v>
      </c>
      <c r="I18">
        <v>6</v>
      </c>
      <c r="J18">
        <v>0.6354166666666666</v>
      </c>
      <c r="K18">
        <v>6</v>
      </c>
      <c r="L18">
        <v>0.6354166666666666</v>
      </c>
      <c r="M18">
        <v>6</v>
      </c>
      <c r="N18">
        <v>0.6354166666666666</v>
      </c>
      <c r="P18" t="str">
        <v>○</v>
      </c>
      <c r="Q18" t="str">
        <v>【火木】</v>
      </c>
    </row>
    <row r="19">
      <c r="A19">
        <v>16</v>
      </c>
      <c r="B19" t="str">
        <v>木</v>
      </c>
      <c r="C19">
        <v>5</v>
      </c>
      <c r="D19">
        <v>0.6180555555555556</v>
      </c>
      <c r="E19">
        <v>5</v>
      </c>
      <c r="F19">
        <v>0.6180555555555556</v>
      </c>
      <c r="G19">
        <v>5</v>
      </c>
      <c r="H19">
        <v>0.6180555555555556</v>
      </c>
      <c r="I19">
        <v>5</v>
      </c>
      <c r="J19">
        <v>0.6180555555555556</v>
      </c>
      <c r="K19">
        <v>5</v>
      </c>
      <c r="L19">
        <v>0.6180555555555556</v>
      </c>
      <c r="M19">
        <v>5</v>
      </c>
      <c r="N19">
        <v>0.6180555555555556</v>
      </c>
      <c r="P19" t="str">
        <v>○</v>
      </c>
      <c r="Q19" t="str">
        <v>【月水金】第1回校内美化活動⑤（全：行1）、ワックスがけ1</v>
      </c>
    </row>
    <row r="20" xml:space="preserve">
      <c r="A20">
        <v>17</v>
      </c>
      <c r="B20" t="str">
        <v>金</v>
      </c>
      <c r="C20">
        <v>4</v>
      </c>
      <c r="D20">
        <v>0.5</v>
      </c>
      <c r="E20">
        <v>4</v>
      </c>
      <c r="F20">
        <v>0.5</v>
      </c>
      <c r="G20">
        <v>4</v>
      </c>
      <c r="H20">
        <v>0.5</v>
      </c>
      <c r="I20">
        <v>4</v>
      </c>
      <c r="J20">
        <v>0.5</v>
      </c>
      <c r="K20">
        <v>4</v>
      </c>
      <c r="L20">
        <v>0.5</v>
      </c>
      <c r="M20">
        <v>4</v>
      </c>
      <c r="N20">
        <v>0.5</v>
      </c>
      <c r="O20" t="str">
        <v>特別</v>
      </c>
      <c r="P20" t="str">
        <v>×</v>
      </c>
      <c r="Q20" t="str" xml:space="preserve">
        <v xml:space="preserve">【特】第1学期終業式、職員会議_x000d_
※月末・学年末統計</v>
      </c>
    </row>
    <row r="21">
      <c r="A21">
        <v>18</v>
      </c>
      <c r="B21" t="str">
        <v>土</v>
      </c>
    </row>
    <row r="22">
      <c r="A22">
        <v>19</v>
      </c>
      <c r="B22" t="str">
        <v>日</v>
      </c>
    </row>
    <row r="23">
      <c r="A23">
        <v>20</v>
      </c>
      <c r="B23" t="str">
        <v>月</v>
      </c>
      <c r="Q23" t="str">
        <v>海の日</v>
      </c>
    </row>
    <row r="24">
      <c r="A24">
        <v>21</v>
      </c>
      <c r="B24" t="str">
        <v>火</v>
      </c>
      <c r="Q24" t="str">
        <v>夏季休業</v>
      </c>
    </row>
    <row r="25">
      <c r="A25">
        <v>22</v>
      </c>
      <c r="B25" t="str">
        <v>水</v>
      </c>
    </row>
    <row r="26">
      <c r="A26">
        <v>23</v>
      </c>
      <c r="B26" t="str">
        <v>木</v>
      </c>
      <c r="Q26" t="str">
        <v>小教研前期研究協議会</v>
      </c>
    </row>
    <row r="27">
      <c r="A27">
        <v>24</v>
      </c>
      <c r="B27" t="str">
        <v>金</v>
      </c>
    </row>
    <row r="28">
      <c r="A28">
        <v>25</v>
      </c>
      <c r="B28" t="str">
        <v>土</v>
      </c>
      <c r="Q28" t="str">
        <v>算数検定</v>
      </c>
    </row>
    <row r="29">
      <c r="A29">
        <v>26</v>
      </c>
      <c r="B29" t="str">
        <v>日</v>
      </c>
    </row>
    <row r="30">
      <c r="A30">
        <v>27</v>
      </c>
      <c r="B30" t="str">
        <v>月</v>
      </c>
      <c r="Q30" t="str">
        <v>※口座振替日2</v>
      </c>
    </row>
    <row r="31" xml:space="preserve">
      <c r="A31">
        <v>28</v>
      </c>
      <c r="B31" t="str">
        <v>火</v>
      </c>
      <c r="Q31" t="str" xml:space="preserve">
        <v xml:space="preserve">※諸表簿提出_x000d_
※8月・9月時間割提出</v>
      </c>
    </row>
    <row r="32">
      <c r="A32">
        <v>29</v>
      </c>
      <c r="B32" t="str">
        <v>水</v>
      </c>
    </row>
    <row r="33">
      <c r="A33">
        <v>30</v>
      </c>
      <c r="B33" t="str">
        <v>木</v>
      </c>
    </row>
    <row r="34">
      <c r="A34">
        <v>31</v>
      </c>
      <c r="B34" t="str">
        <v>金</v>
      </c>
    </row>
    <row r="35" xml:space="preserve">
      <c r="A35" t="str" xml:space="preserve">
        <v xml:space="preserve">留_x000d_
意_x000d_
点</v>
      </c>
      <c r="B35" t="str" xml:space="preserve">
        <v xml:space="preserve">○歯科教室の日程が変更になっております。7/1(水)②2-1、3-1③2-2、3-2　7/3(金)⑤1年　7/7(火)②4-1、5-1③4-2、5-2④6年_x000d_
○7/9(木)キャリア教育講演会のため、5校時に。7/6(月)が6校時に。生徒指導・現職教育委員会が7/7(火)になります。_x000d_
○7/10(金)午前に市教育長訪問があります。_x000d_
〇１年生の時数及び下校予定時刻を修正しました。7/14(火)4校時13:40下校、7/16(木)5校時14:50下校_x000d_
○児童会委員会が7/14(火)に変更になりました。</v>
      </c>
    </row>
    <row r="36">
      <c r="B36">
        <f>F2</f>
        <v>7</v>
      </c>
      <c r="C36" t="str">
        <v>月</v>
      </c>
      <c r="D36" t="str">
        <v>実施時数予定</v>
      </c>
    </row>
    <row r="37">
      <c r="C37" t="str">
        <v>１年</v>
      </c>
      <c r="E37" t="str">
        <v>２年</v>
      </c>
      <c r="G37" t="str">
        <v>３年</v>
      </c>
      <c r="I37" t="str">
        <v>４年</v>
      </c>
      <c r="K37" t="str">
        <v>５年</v>
      </c>
      <c r="M37" t="str">
        <v>６年</v>
      </c>
      <c r="O37" t="str">
        <v>Ｍ時数</v>
      </c>
      <c r="P37" t="str">
        <v>食数</v>
      </c>
    </row>
    <row r="38">
      <c r="A38" t="str">
        <v>実施できる時数</v>
      </c>
      <c r="C38">
        <f>SUM(C4:C34)</f>
        <v>57</v>
      </c>
      <c r="E38">
        <f>SUM(E4:E34)+O38</f>
        <v>62</v>
      </c>
      <c r="G38">
        <f>SUM(G4:G34)+O38</f>
        <v>65</v>
      </c>
      <c r="I38">
        <f>SUM(I4:I34)+Q38</f>
        <v>71</v>
      </c>
      <c r="K38">
        <f>SUM(K4:K34)+S38</f>
        <v>71</v>
      </c>
      <c r="M38">
        <f>SUM(M4:M34)+U38</f>
        <v>71</v>
      </c>
      <c r="P38">
        <f>COUNTIF(P4:P34,"○")</f>
        <v>12</v>
      </c>
    </row>
    <row r="39">
      <c r="A39" t="str">
        <v>計画された時数</v>
      </c>
      <c r="C39">
        <v>57</v>
      </c>
      <c r="E39">
        <v>62</v>
      </c>
      <c r="G39">
        <v>65</v>
      </c>
      <c r="I39">
        <v>71</v>
      </c>
      <c r="K39">
        <v>71</v>
      </c>
      <c r="M39">
        <v>72</v>
      </c>
    </row>
    <row r="40">
      <c r="A40" t="str">
        <v>7月余剰時数</v>
      </c>
      <c r="C40">
        <f>C38-C39</f>
        <v>0</v>
      </c>
      <c r="E40">
        <f>E38-E39</f>
        <v>0</v>
      </c>
      <c r="G40">
        <f>G38-G39</f>
        <v>0</v>
      </c>
      <c r="I40">
        <f>I38-I39</f>
        <v>0</v>
      </c>
      <c r="K40">
        <f>K38-K39</f>
        <v>0</v>
      </c>
      <c r="M40">
        <f>M38-M39</f>
        <v>-1</v>
      </c>
    </row>
    <row r="41">
      <c r="Q41">
        <v>3</v>
      </c>
    </row>
  </sheetData>
  <mergeCells count="44">
    <mergeCell ref="M39:N39"/>
    <mergeCell ref="A40:B40"/>
    <mergeCell ref="C40:D40"/>
    <mergeCell ref="E40:F40"/>
    <mergeCell ref="G40:H40"/>
    <mergeCell ref="I40:J40"/>
    <mergeCell ref="K40:L40"/>
    <mergeCell ref="M40:N40"/>
    <mergeCell ref="A39:B39"/>
    <mergeCell ref="C39:D39"/>
    <mergeCell ref="E39:F39"/>
    <mergeCell ref="G39:H39"/>
    <mergeCell ref="I39:J39"/>
    <mergeCell ref="K39:L39"/>
    <mergeCell ref="K37:L37"/>
    <mergeCell ref="M37:N37"/>
    <mergeCell ref="R37:W37"/>
    <mergeCell ref="A38:B38"/>
    <mergeCell ref="C38:D38"/>
    <mergeCell ref="E38:F38"/>
    <mergeCell ref="G38:H38"/>
    <mergeCell ref="I38:J38"/>
    <mergeCell ref="K38:L38"/>
    <mergeCell ref="M38:N38"/>
    <mergeCell ref="A37:B37"/>
    <mergeCell ref="C37:D37"/>
    <mergeCell ref="E37:F37"/>
    <mergeCell ref="G37:H37"/>
    <mergeCell ref="I37:J37"/>
    <mergeCell ref="M3:N3"/>
    <mergeCell ref="R9:W9"/>
    <mergeCell ref="R16:W16"/>
    <mergeCell ref="B35:Q35"/>
    <mergeCell ref="D36:G36"/>
    <mergeCell ref="C3:D3"/>
    <mergeCell ref="E3:F3"/>
    <mergeCell ref="G3:H3"/>
    <mergeCell ref="I3:J3"/>
    <mergeCell ref="K3:L3"/>
    <mergeCell ref="A1:D1"/>
    <mergeCell ref="P1:Q1"/>
    <mergeCell ref="A2:D2"/>
    <mergeCell ref="H2:P2"/>
    <mergeCell ref="R2:W2"/>
  </mergeCells>
  <pageMargins left="0.31496062992125984" right="0.31496062992125984" top="0.3937007874015748" bottom="0.3937007874015748" header="0.31496062992125984" footer="0.31496062992125984"/>
  <ignoredErrors>
    <ignoredError numberStoredAsText="1" sqref="A1:W42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dimension ref="A1:Q42"/>
  <sheetViews>
    <sheetView workbookViewId="0" rightToLeft="0"/>
  </sheetViews>
  <sheetData>
    <row r="2">
      <c r="A2" t="str">
        <v>令和８年度</v>
      </c>
      <c r="F2">
        <v>8</v>
      </c>
      <c r="G2" t="str">
        <v>月</v>
      </c>
      <c r="H2" t="str">
        <v>授業時数･下校予定時刻一覧表</v>
      </c>
      <c r="Q2" t="str">
        <v>本宮市立本宮まゆみ小学校</v>
      </c>
    </row>
    <row r="3">
      <c r="A3" t="str">
        <v>日</v>
      </c>
      <c r="B3" t="str">
        <v>曜</v>
      </c>
      <c r="C3" t="str">
        <v>１学年</v>
      </c>
      <c r="E3" t="str">
        <v>２学年</v>
      </c>
      <c r="G3" t="str">
        <v>３学年</v>
      </c>
      <c r="I3" t="str">
        <v>４学年</v>
      </c>
      <c r="K3" t="str">
        <v>５学年</v>
      </c>
      <c r="M3" t="str">
        <v>６学年</v>
      </c>
      <c r="O3" t="str">
        <v>特別日程</v>
      </c>
      <c r="P3" t="str">
        <v>給食</v>
      </c>
      <c r="Q3" t="str">
        <v>行　　事　　等</v>
      </c>
    </row>
    <row r="4">
      <c r="A4">
        <v>1</v>
      </c>
      <c r="B4" t="str">
        <v>土</v>
      </c>
      <c r="Q4" t="str">
        <v>※夏季休業日（～23日）</v>
      </c>
    </row>
    <row r="5">
      <c r="A5">
        <v>2</v>
      </c>
      <c r="B5" t="str">
        <v>日</v>
      </c>
    </row>
    <row r="6">
      <c r="A6">
        <v>3</v>
      </c>
      <c r="B6" t="str">
        <v>月</v>
      </c>
    </row>
    <row r="7">
      <c r="A7">
        <v>4</v>
      </c>
      <c r="B7" t="str">
        <v>火</v>
      </c>
    </row>
    <row r="8">
      <c r="A8">
        <v>5</v>
      </c>
      <c r="B8" t="str">
        <v>水</v>
      </c>
    </row>
    <row r="9">
      <c r="A9">
        <v>6</v>
      </c>
      <c r="B9" t="str">
        <v>木</v>
      </c>
    </row>
    <row r="10">
      <c r="A10">
        <v>7</v>
      </c>
      <c r="B10" t="str">
        <v>金</v>
      </c>
    </row>
    <row r="11">
      <c r="A11">
        <v>8</v>
      </c>
      <c r="B11" t="str">
        <v>土</v>
      </c>
      <c r="Q11" t="str">
        <v>※閉庁日（～16日）</v>
      </c>
    </row>
    <row r="12">
      <c r="A12">
        <v>9</v>
      </c>
      <c r="B12" t="str">
        <v>日</v>
      </c>
    </row>
    <row r="13">
      <c r="A13">
        <v>10</v>
      </c>
      <c r="B13" t="str">
        <v>月</v>
      </c>
    </row>
    <row r="14">
      <c r="A14">
        <v>11</v>
      </c>
      <c r="B14" t="str">
        <v>火</v>
      </c>
      <c r="Q14" t="str">
        <v xml:space="preserve">　　　　　　　　山の日</v>
      </c>
    </row>
    <row r="15">
      <c r="A15">
        <v>12</v>
      </c>
      <c r="B15" t="str">
        <v>水</v>
      </c>
      <c r="Q15" t="str">
        <v>※口座振替日1</v>
      </c>
    </row>
    <row r="16">
      <c r="A16">
        <v>13</v>
      </c>
      <c r="B16" t="str">
        <v>木</v>
      </c>
    </row>
    <row r="17">
      <c r="A17">
        <v>14</v>
      </c>
      <c r="B17" t="str">
        <v>金</v>
      </c>
    </row>
    <row r="18">
      <c r="A18">
        <v>15</v>
      </c>
      <c r="B18" t="str">
        <v>土</v>
      </c>
    </row>
    <row r="19">
      <c r="A19">
        <v>16</v>
      </c>
      <c r="B19" t="str">
        <v>日</v>
      </c>
    </row>
    <row r="20">
      <c r="A20">
        <v>17</v>
      </c>
      <c r="B20" t="str">
        <v>月</v>
      </c>
    </row>
    <row r="21">
      <c r="A21">
        <v>18</v>
      </c>
      <c r="B21" t="str">
        <v>火</v>
      </c>
    </row>
    <row r="22">
      <c r="A22">
        <v>19</v>
      </c>
      <c r="B22" t="str">
        <v>水</v>
      </c>
    </row>
    <row r="23">
      <c r="A23">
        <v>20</v>
      </c>
      <c r="B23" t="str">
        <v>木</v>
      </c>
      <c r="Q23" t="str">
        <v>安達地区音楽祭　第1部合唱</v>
      </c>
    </row>
    <row r="24">
      <c r="A24">
        <v>21</v>
      </c>
      <c r="B24" t="str">
        <v>金</v>
      </c>
    </row>
    <row r="25">
      <c r="A25">
        <v>22</v>
      </c>
      <c r="B25" t="str">
        <v>土</v>
      </c>
      <c r="Q25" t="str">
        <v>ＰＴＡ奉仕作業2、資源回収</v>
      </c>
    </row>
    <row r="26">
      <c r="A26">
        <v>23</v>
      </c>
      <c r="B26" t="str">
        <v>日</v>
      </c>
    </row>
    <row r="27">
      <c r="A27">
        <v>24</v>
      </c>
      <c r="B27" t="str">
        <v>月</v>
      </c>
      <c r="C27">
        <v>4</v>
      </c>
      <c r="D27">
        <v>0.5</v>
      </c>
      <c r="E27">
        <v>4</v>
      </c>
      <c r="F27">
        <v>0.5</v>
      </c>
      <c r="G27">
        <v>4</v>
      </c>
      <c r="H27">
        <v>0.5</v>
      </c>
      <c r="I27">
        <v>4</v>
      </c>
      <c r="J27">
        <v>0.5</v>
      </c>
      <c r="K27">
        <v>4</v>
      </c>
      <c r="L27">
        <v>0.5</v>
      </c>
      <c r="M27">
        <v>4</v>
      </c>
      <c r="N27">
        <v>0.5</v>
      </c>
      <c r="O27" t="str">
        <v>短縮</v>
      </c>
      <c r="P27" t="str">
        <v>×</v>
      </c>
      <c r="Q27" t="str">
        <v>【短】第２学期始業式、職員会議、安全点検</v>
      </c>
    </row>
    <row r="28" xml:space="preserve">
      <c r="A28">
        <v>25</v>
      </c>
      <c r="B28" t="str">
        <v>火</v>
      </c>
      <c r="C28">
        <v>5</v>
      </c>
      <c r="D28">
        <v>0.6006944444444444</v>
      </c>
      <c r="E28">
        <v>5</v>
      </c>
      <c r="F28">
        <v>0.6006944444444444</v>
      </c>
      <c r="G28">
        <v>5</v>
      </c>
      <c r="H28">
        <v>0.6006944444444444</v>
      </c>
      <c r="I28">
        <v>6</v>
      </c>
      <c r="J28">
        <v>0.6354166666666666</v>
      </c>
      <c r="K28">
        <v>6</v>
      </c>
      <c r="L28">
        <v>0.6354166666666666</v>
      </c>
      <c r="M28">
        <v>6</v>
      </c>
      <c r="N28">
        <v>0.6354166666666666</v>
      </c>
      <c r="P28" t="str">
        <v>○</v>
      </c>
      <c r="Q28" t="str" xml:space="preserve">
        <v xml:space="preserve">身体測定(まゆさく、低)_x000d_
※口座振替日2</v>
      </c>
    </row>
    <row r="29">
      <c r="A29">
        <v>26</v>
      </c>
      <c r="B29" t="str">
        <v>水</v>
      </c>
      <c r="C29">
        <v>5</v>
      </c>
      <c r="D29">
        <v>0.6180555555555556</v>
      </c>
      <c r="E29">
        <v>5</v>
      </c>
      <c r="F29">
        <v>0.6180555555555556</v>
      </c>
      <c r="G29">
        <v>6</v>
      </c>
      <c r="H29">
        <v>0.6527777777777778</v>
      </c>
      <c r="I29">
        <v>6</v>
      </c>
      <c r="J29">
        <v>0.6527777777777778</v>
      </c>
      <c r="K29">
        <v>6</v>
      </c>
      <c r="L29">
        <v>0.6527777777777778</v>
      </c>
      <c r="M29">
        <v>6</v>
      </c>
      <c r="N29">
        <v>0.6527777777777778</v>
      </c>
      <c r="P29" t="str">
        <v>○</v>
      </c>
      <c r="Q29" t="str">
        <v>身体測定（３～６年）</v>
      </c>
    </row>
    <row r="30" xml:space="preserve">
      <c r="A30">
        <v>27</v>
      </c>
      <c r="B30" t="str">
        <v>木</v>
      </c>
      <c r="C30">
        <v>4</v>
      </c>
      <c r="D30">
        <v>0.5416666666666666</v>
      </c>
      <c r="E30">
        <v>5</v>
      </c>
      <c r="F30">
        <v>0.5833333333333334</v>
      </c>
      <c r="G30">
        <v>5</v>
      </c>
      <c r="H30">
        <v>0.5833333333333334</v>
      </c>
      <c r="I30">
        <v>5</v>
      </c>
      <c r="J30">
        <v>0.5833333333333334</v>
      </c>
      <c r="K30">
        <v>5</v>
      </c>
      <c r="L30">
        <v>0.5833333333333334</v>
      </c>
      <c r="M30">
        <v>5</v>
      </c>
      <c r="N30">
        <v>0.5833333333333334</v>
      </c>
      <c r="O30" t="str">
        <v>短縮</v>
      </c>
      <c r="P30" t="str">
        <v>○</v>
      </c>
      <c r="Q30" t="str" xml:space="preserve">
        <v xml:space="preserve">【短】個別懇談1、登校班長会議、_x000d_
本宮一中職場体験　中2年生3名_x000d_
 9:00～15:00</v>
      </c>
    </row>
    <row r="31">
      <c r="A31">
        <v>28</v>
      </c>
      <c r="B31" t="str">
        <v>金</v>
      </c>
      <c r="C31">
        <v>4</v>
      </c>
      <c r="D31">
        <v>0.5416666666666666</v>
      </c>
      <c r="E31">
        <v>4</v>
      </c>
      <c r="F31">
        <v>0.5416666666666666</v>
      </c>
      <c r="G31">
        <v>5</v>
      </c>
      <c r="H31">
        <v>0.5833333333333334</v>
      </c>
      <c r="I31">
        <v>5</v>
      </c>
      <c r="J31">
        <v>0.5833333333333334</v>
      </c>
      <c r="K31">
        <v>5</v>
      </c>
      <c r="L31">
        <v>0.5833333333333334</v>
      </c>
      <c r="M31">
        <v>5</v>
      </c>
      <c r="N31">
        <v>0.5833333333333334</v>
      </c>
      <c r="O31" t="str">
        <v>短縮</v>
      </c>
      <c r="P31" t="str">
        <v>○</v>
      </c>
      <c r="Q31" t="str">
        <v>【短】個別懇談2</v>
      </c>
    </row>
    <row r="32">
      <c r="A32">
        <v>29</v>
      </c>
      <c r="B32" t="str">
        <v>土</v>
      </c>
    </row>
    <row r="33">
      <c r="A33">
        <v>30</v>
      </c>
      <c r="B33" t="str">
        <v>日</v>
      </c>
    </row>
    <row r="34">
      <c r="A34">
        <v>31</v>
      </c>
      <c r="B34" t="str">
        <v>月</v>
      </c>
      <c r="C34">
        <v>5</v>
      </c>
      <c r="D34">
        <v>0.6180555555555556</v>
      </c>
      <c r="E34">
        <v>5</v>
      </c>
      <c r="F34">
        <v>0.6180555555555556</v>
      </c>
      <c r="G34">
        <v>5</v>
      </c>
      <c r="H34">
        <v>0.6180555555555556</v>
      </c>
      <c r="I34">
        <v>5</v>
      </c>
      <c r="J34">
        <v>0.6458333333333334</v>
      </c>
      <c r="K34">
        <v>5</v>
      </c>
      <c r="L34">
        <v>0.6458333333333334</v>
      </c>
      <c r="M34">
        <v>5</v>
      </c>
      <c r="N34">
        <v>0.6458333333333334</v>
      </c>
      <c r="P34" t="str">
        <v>○</v>
      </c>
      <c r="Q34" t="str">
        <v>全校集会（合唱部壮行会）、児童会活動日　※月末統計　めあて発表4年(昼の放送)</v>
      </c>
    </row>
    <row r="35">
      <c r="A35" t="str">
        <v>留意点</v>
      </c>
    </row>
    <row r="36">
      <c r="B36">
        <v>8</v>
      </c>
      <c r="C36" t="str">
        <v>月</v>
      </c>
      <c r="D36" t="str">
        <v>実施時数予定</v>
      </c>
    </row>
    <row r="37">
      <c r="C37" t="str">
        <v>１年</v>
      </c>
      <c r="E37" t="str">
        <v>２年</v>
      </c>
      <c r="G37" t="str">
        <v>３年</v>
      </c>
      <c r="I37" t="str">
        <v>４年</v>
      </c>
      <c r="K37" t="str">
        <v>５年</v>
      </c>
      <c r="M37" t="str">
        <v>６年</v>
      </c>
      <c r="O37" t="str">
        <v>Ｍ時数</v>
      </c>
      <c r="P37" t="str">
        <v>食数</v>
      </c>
    </row>
    <row r="38">
      <c r="A38" t="str">
        <v>実施できる時数</v>
      </c>
      <c r="C38">
        <f>SUM(C4:C34)+O38</f>
        <v>27</v>
      </c>
      <c r="E38">
        <f>SUM(E4:E34)+O38</f>
        <v>28</v>
      </c>
      <c r="G38">
        <f>SUM(G4:G34)+O38</f>
        <v>30</v>
      </c>
      <c r="I38">
        <f>SUM(I4:I34)+O38</f>
        <v>31</v>
      </c>
      <c r="K38">
        <f>SUM(K4:K34)+O38</f>
        <v>31</v>
      </c>
      <c r="M38">
        <f>SUM(M4:M34)+O38</f>
        <v>31</v>
      </c>
      <c r="P38">
        <f>COUNTIF(P4:P34,"○")</f>
        <v>5</v>
      </c>
    </row>
    <row r="39">
      <c r="A39" t="str">
        <v>計画された時数</v>
      </c>
      <c r="C39">
        <v>27</v>
      </c>
      <c r="E39">
        <v>28</v>
      </c>
      <c r="G39">
        <v>30</v>
      </c>
      <c r="I39">
        <v>31</v>
      </c>
      <c r="K39">
        <v>31</v>
      </c>
      <c r="M39">
        <v>31</v>
      </c>
    </row>
    <row r="40">
      <c r="A40" t="str">
        <v>8月余剰時数</v>
      </c>
      <c r="C40">
        <f>C38-C39</f>
        <v>0</v>
      </c>
      <c r="E40">
        <f>E38-E39</f>
        <v>0</v>
      </c>
      <c r="G40">
        <f>G38-G39</f>
        <v>0</v>
      </c>
      <c r="I40">
        <f>I38-I39</f>
        <v>0</v>
      </c>
      <c r="K40">
        <f>K38-K39</f>
        <v>0</v>
      </c>
      <c r="M40">
        <f>M38-M39</f>
        <v>0</v>
      </c>
    </row>
    <row r="41">
      <c r="Q41">
        <v>3</v>
      </c>
    </row>
  </sheetData>
  <mergeCells count="40">
    <mergeCell ref="B35:Q35"/>
    <mergeCell ref="D36:G36"/>
    <mergeCell ref="A1:D1"/>
    <mergeCell ref="P1:Q1"/>
    <mergeCell ref="A2:D2"/>
    <mergeCell ref="H2:O2"/>
    <mergeCell ref="M3:N3"/>
    <mergeCell ref="C3:D3"/>
    <mergeCell ref="E3:F3"/>
    <mergeCell ref="G3:H3"/>
    <mergeCell ref="I3:J3"/>
    <mergeCell ref="K3:L3"/>
    <mergeCell ref="K37:L37"/>
    <mergeCell ref="M37:N37"/>
    <mergeCell ref="A38:B38"/>
    <mergeCell ref="C38:D38"/>
    <mergeCell ref="E38:F38"/>
    <mergeCell ref="G38:H38"/>
    <mergeCell ref="I38:J38"/>
    <mergeCell ref="K38:L38"/>
    <mergeCell ref="M38:N38"/>
    <mergeCell ref="A37:B37"/>
    <mergeCell ref="C37:D37"/>
    <mergeCell ref="E37:F37"/>
    <mergeCell ref="G37:H37"/>
    <mergeCell ref="I37:J37"/>
    <mergeCell ref="M39:N39"/>
    <mergeCell ref="A40:B40"/>
    <mergeCell ref="C40:D40"/>
    <mergeCell ref="E40:F40"/>
    <mergeCell ref="G40:H40"/>
    <mergeCell ref="I40:J40"/>
    <mergeCell ref="K40:L40"/>
    <mergeCell ref="M40:N40"/>
    <mergeCell ref="A39:B39"/>
    <mergeCell ref="C39:D39"/>
    <mergeCell ref="E39:F39"/>
    <mergeCell ref="G39:H39"/>
    <mergeCell ref="I39:J39"/>
    <mergeCell ref="K39:L39"/>
  </mergeCells>
  <pageMargins left="0.7086614173228347" right="0.4724409448818898" top="0.3937007874015748" bottom="0.4330708661417323" header="0.31496062992125984" footer="0.31496062992125984"/>
  <ignoredErrors>
    <ignoredError numberStoredAsText="1" sqref="A1:Q42"/>
  </ignoredErrors>
</worksheet>
</file>

<file path=xl/worksheets/sheet13.xml><?xml version="1.0" encoding="utf-8"?>
<worksheet xmlns="http://schemas.openxmlformats.org/spreadsheetml/2006/main" xmlns:r="http://schemas.openxmlformats.org/officeDocument/2006/relationships">
  <dimension ref="A1:Q42"/>
  <sheetViews>
    <sheetView workbookViewId="0" rightToLeft="0"/>
  </sheetViews>
  <sheetData>
    <row r="2">
      <c r="A2" t="str">
        <v>令和８年度</v>
      </c>
      <c r="F2">
        <v>8</v>
      </c>
      <c r="G2" t="str">
        <v>月</v>
      </c>
      <c r="H2" t="str">
        <v>授業時数･下校予定時刻一覧表(7/29版)</v>
      </c>
      <c r="Q2" t="str">
        <v>本宮市立本宮まゆみ小学校</v>
      </c>
    </row>
    <row r="3">
      <c r="A3" t="str">
        <v>日</v>
      </c>
      <c r="B3" t="str">
        <v>曜</v>
      </c>
      <c r="C3" t="str">
        <v>１学年</v>
      </c>
      <c r="E3" t="str">
        <v>２学年</v>
      </c>
      <c r="G3" t="str">
        <v>３学年</v>
      </c>
      <c r="I3" t="str">
        <v>４学年</v>
      </c>
      <c r="K3" t="str">
        <v>５学年</v>
      </c>
      <c r="M3" t="str">
        <v>６学年</v>
      </c>
      <c r="O3" t="str">
        <v>特別日程</v>
      </c>
      <c r="P3" t="str">
        <v>給食</v>
      </c>
      <c r="Q3" t="str">
        <v>行　　事　　等</v>
      </c>
    </row>
    <row r="4">
      <c r="A4">
        <v>1</v>
      </c>
      <c r="B4" t="str">
        <v>土</v>
      </c>
      <c r="Q4" t="str">
        <v>※夏季休業日（～23日）</v>
      </c>
    </row>
    <row r="5">
      <c r="A5">
        <v>2</v>
      </c>
      <c r="B5" t="str">
        <v>日</v>
      </c>
    </row>
    <row r="6">
      <c r="A6">
        <v>3</v>
      </c>
      <c r="B6" t="str">
        <v>月</v>
      </c>
    </row>
    <row r="7">
      <c r="A7">
        <v>4</v>
      </c>
      <c r="B7" t="str">
        <v>火</v>
      </c>
    </row>
    <row r="8">
      <c r="A8">
        <v>5</v>
      </c>
      <c r="B8" t="str">
        <v>水</v>
      </c>
    </row>
    <row r="9">
      <c r="A9">
        <v>6</v>
      </c>
      <c r="B9" t="str">
        <v>木</v>
      </c>
      <c r="Q9" t="str">
        <v>※閉庁日(～16日)</v>
      </c>
    </row>
    <row r="10">
      <c r="A10">
        <v>7</v>
      </c>
      <c r="B10" t="str">
        <v>金</v>
      </c>
    </row>
    <row r="11">
      <c r="A11">
        <v>8</v>
      </c>
      <c r="B11" t="str">
        <v>土</v>
      </c>
    </row>
    <row r="12">
      <c r="A12">
        <v>9</v>
      </c>
      <c r="B12" t="str">
        <v>日</v>
      </c>
    </row>
    <row r="13">
      <c r="A13">
        <v>10</v>
      </c>
      <c r="B13" t="str">
        <v>月</v>
      </c>
      <c r="Q13" t="str">
        <v>※口座振替日1</v>
      </c>
    </row>
    <row r="14">
      <c r="A14">
        <v>11</v>
      </c>
      <c r="B14" t="str">
        <v>火</v>
      </c>
      <c r="Q14" t="str">
        <v xml:space="preserve">　　　　　　　　山の日</v>
      </c>
    </row>
    <row r="15">
      <c r="A15">
        <v>12</v>
      </c>
      <c r="B15" t="str">
        <v>水</v>
      </c>
    </row>
    <row r="16">
      <c r="A16">
        <v>13</v>
      </c>
      <c r="B16" t="str">
        <v>木</v>
      </c>
    </row>
    <row r="17">
      <c r="A17">
        <v>14</v>
      </c>
      <c r="B17" t="str">
        <v>金</v>
      </c>
    </row>
    <row r="18">
      <c r="A18">
        <v>15</v>
      </c>
      <c r="B18" t="str">
        <v>土</v>
      </c>
    </row>
    <row r="19">
      <c r="A19">
        <v>16</v>
      </c>
      <c r="B19" t="str">
        <v>日</v>
      </c>
    </row>
    <row r="20">
      <c r="A20">
        <v>17</v>
      </c>
      <c r="B20" t="str">
        <v>月</v>
      </c>
    </row>
    <row r="21">
      <c r="A21">
        <v>18</v>
      </c>
      <c r="B21" t="str">
        <v>火</v>
      </c>
    </row>
    <row r="22">
      <c r="A22">
        <v>19</v>
      </c>
      <c r="B22" t="str">
        <v>水</v>
      </c>
    </row>
    <row r="23">
      <c r="A23">
        <v>20</v>
      </c>
      <c r="B23" t="str">
        <v>木</v>
      </c>
      <c r="Q23" t="str">
        <v>安達地区音楽祭　第1部合唱</v>
      </c>
    </row>
    <row r="24">
      <c r="A24">
        <v>21</v>
      </c>
      <c r="B24" t="str">
        <v>金</v>
      </c>
    </row>
    <row r="25">
      <c r="A25">
        <v>22</v>
      </c>
      <c r="B25" t="str">
        <v>土</v>
      </c>
      <c r="Q25" t="str">
        <v>ＰＴＡ奉仕作業2、資源回収</v>
      </c>
    </row>
    <row r="26">
      <c r="A26">
        <v>23</v>
      </c>
      <c r="B26" t="str">
        <v>日</v>
      </c>
    </row>
    <row r="27">
      <c r="A27">
        <v>24</v>
      </c>
      <c r="B27" t="str">
        <v>月</v>
      </c>
      <c r="C27">
        <v>4</v>
      </c>
      <c r="D27">
        <v>0.5</v>
      </c>
      <c r="E27">
        <v>4</v>
      </c>
      <c r="F27">
        <v>0.5</v>
      </c>
      <c r="G27">
        <v>4</v>
      </c>
      <c r="H27">
        <v>0.5</v>
      </c>
      <c r="I27">
        <v>4</v>
      </c>
      <c r="J27">
        <v>0.5</v>
      </c>
      <c r="K27">
        <v>4</v>
      </c>
      <c r="L27">
        <v>0.5</v>
      </c>
      <c r="M27">
        <v>4</v>
      </c>
      <c r="N27">
        <v>0.5</v>
      </c>
      <c r="O27" t="str">
        <v>短縮</v>
      </c>
      <c r="P27" t="str">
        <v>×</v>
      </c>
      <c r="Q27" t="str">
        <v>【短】第２学期始業式、職員会議、安全点検</v>
      </c>
    </row>
    <row r="28" xml:space="preserve">
      <c r="A28">
        <v>25</v>
      </c>
      <c r="B28" t="str">
        <v>火</v>
      </c>
      <c r="C28">
        <v>5</v>
      </c>
      <c r="D28">
        <v>0.6006944444444444</v>
      </c>
      <c r="E28">
        <v>5</v>
      </c>
      <c r="F28">
        <v>0.6006944444444444</v>
      </c>
      <c r="G28">
        <v>5</v>
      </c>
      <c r="H28">
        <v>0.6006944444444444</v>
      </c>
      <c r="I28">
        <v>6</v>
      </c>
      <c r="J28">
        <v>0.6354166666666666</v>
      </c>
      <c r="K28">
        <v>6</v>
      </c>
      <c r="L28">
        <v>0.6354166666666666</v>
      </c>
      <c r="M28">
        <v>6</v>
      </c>
      <c r="N28">
        <v>0.6354166666666666</v>
      </c>
      <c r="P28" t="str">
        <v>○</v>
      </c>
      <c r="Q28" t="str" xml:space="preserve">
        <v xml:space="preserve">身体測定(まゆさく、低)_x000d_
※口座振替日2</v>
      </c>
    </row>
    <row r="29">
      <c r="A29">
        <v>26</v>
      </c>
      <c r="B29" t="str">
        <v>水</v>
      </c>
      <c r="C29">
        <v>5</v>
      </c>
      <c r="D29">
        <v>0.6180555555555556</v>
      </c>
      <c r="E29">
        <v>5</v>
      </c>
      <c r="F29">
        <v>0.6180555555555556</v>
      </c>
      <c r="G29">
        <v>6</v>
      </c>
      <c r="H29">
        <v>0.6527777777777778</v>
      </c>
      <c r="I29">
        <v>6</v>
      </c>
      <c r="J29">
        <v>0.6527777777777778</v>
      </c>
      <c r="K29">
        <v>6</v>
      </c>
      <c r="L29">
        <v>0.6527777777777778</v>
      </c>
      <c r="M29">
        <v>6</v>
      </c>
      <c r="N29">
        <v>0.6527777777777778</v>
      </c>
      <c r="P29" t="str">
        <v>○</v>
      </c>
      <c r="Q29" t="str">
        <v>身体測定（３～６年）</v>
      </c>
    </row>
    <row r="30" xml:space="preserve">
      <c r="A30">
        <v>27</v>
      </c>
      <c r="B30" t="str">
        <v>木</v>
      </c>
      <c r="C30">
        <v>4</v>
      </c>
      <c r="D30">
        <v>0.5416666666666666</v>
      </c>
      <c r="E30">
        <v>5</v>
      </c>
      <c r="F30">
        <v>0.5833333333333334</v>
      </c>
      <c r="G30">
        <v>5</v>
      </c>
      <c r="H30">
        <v>0.5833333333333334</v>
      </c>
      <c r="I30">
        <v>5</v>
      </c>
      <c r="J30">
        <v>0.5833333333333334</v>
      </c>
      <c r="K30">
        <v>5</v>
      </c>
      <c r="L30">
        <v>0.5833333333333334</v>
      </c>
      <c r="M30">
        <v>5</v>
      </c>
      <c r="N30">
        <v>0.5833333333333334</v>
      </c>
      <c r="O30" t="str">
        <v>短縮</v>
      </c>
      <c r="P30" t="str">
        <v>○</v>
      </c>
      <c r="Q30" t="str" xml:space="preserve">
        <v xml:space="preserve">【短】個別懇談1、登校班長会議、_x000d_
本宮一中職場体験　中2年生3名_x000d_
 9:00～15:00</v>
      </c>
    </row>
    <row r="31">
      <c r="A31">
        <v>28</v>
      </c>
      <c r="B31" t="str">
        <v>金</v>
      </c>
      <c r="C31">
        <v>4</v>
      </c>
      <c r="D31">
        <v>0.5416666666666666</v>
      </c>
      <c r="E31">
        <v>4</v>
      </c>
      <c r="F31">
        <v>0.5416666666666666</v>
      </c>
      <c r="G31">
        <v>5</v>
      </c>
      <c r="H31">
        <v>0.5833333333333334</v>
      </c>
      <c r="I31">
        <v>5</v>
      </c>
      <c r="J31">
        <v>0.5833333333333334</v>
      </c>
      <c r="K31">
        <v>5</v>
      </c>
      <c r="L31">
        <v>0.5833333333333334</v>
      </c>
      <c r="M31">
        <v>5</v>
      </c>
      <c r="N31">
        <v>0.5833333333333334</v>
      </c>
      <c r="O31" t="str">
        <v>短縮</v>
      </c>
      <c r="P31" t="str">
        <v>○</v>
      </c>
      <c r="Q31" t="str">
        <v>【短】個別懇談2</v>
      </c>
    </row>
    <row r="32">
      <c r="A32">
        <v>29</v>
      </c>
      <c r="B32" t="str">
        <v>土</v>
      </c>
    </row>
    <row r="33">
      <c r="A33">
        <v>30</v>
      </c>
      <c r="B33" t="str">
        <v>日</v>
      </c>
    </row>
    <row r="34">
      <c r="A34">
        <v>31</v>
      </c>
      <c r="B34" t="str">
        <v>月</v>
      </c>
      <c r="C34">
        <v>5</v>
      </c>
      <c r="D34">
        <v>0.6180555555555556</v>
      </c>
      <c r="E34">
        <v>5</v>
      </c>
      <c r="F34">
        <v>0.6180555555555556</v>
      </c>
      <c r="G34">
        <v>5</v>
      </c>
      <c r="H34">
        <v>0.6180555555555556</v>
      </c>
      <c r="I34">
        <v>5</v>
      </c>
      <c r="J34">
        <v>0.6458333333333334</v>
      </c>
      <c r="K34">
        <v>5</v>
      </c>
      <c r="L34">
        <v>0.6458333333333334</v>
      </c>
      <c r="M34">
        <v>5</v>
      </c>
      <c r="N34">
        <v>0.6458333333333334</v>
      </c>
      <c r="P34" t="str">
        <v>○</v>
      </c>
      <c r="Q34" t="str">
        <v>全校集会（合唱部壮行会、業間）、児童会活動日　※月末統計　めあて発表4年及びたなばた展表彰(13:30～、Meet)</v>
      </c>
    </row>
    <row r="35" xml:space="preserve">
      <c r="A35" t="str">
        <v>留意点</v>
      </c>
      <c r="B35" t="str" xml:space="preserve">
        <v xml:space="preserve">○8/24(月)特別→短縮です。_x000d_
○8/27(木)職場体験で一中生3名が来ます。_x000d_
○8/31(月)合唱部壮行会を業間に、めあて発表(4年)とたなばた展の表彰を13:30～ Google Meetで行います。</v>
      </c>
    </row>
    <row r="36">
      <c r="B36">
        <v>8</v>
      </c>
      <c r="C36" t="str">
        <v>月</v>
      </c>
      <c r="D36" t="str">
        <v>実施時数予定</v>
      </c>
    </row>
    <row r="37">
      <c r="C37" t="str">
        <v>１年</v>
      </c>
      <c r="E37" t="str">
        <v>２年</v>
      </c>
      <c r="G37" t="str">
        <v>３年</v>
      </c>
      <c r="I37" t="str">
        <v>４年</v>
      </c>
      <c r="K37" t="str">
        <v>５年</v>
      </c>
      <c r="M37" t="str">
        <v>６年</v>
      </c>
      <c r="O37" t="str">
        <v>Ｍ時数</v>
      </c>
      <c r="P37" t="str">
        <v>食数</v>
      </c>
    </row>
    <row r="38">
      <c r="A38" t="str">
        <v>実施できる時数</v>
      </c>
      <c r="C38">
        <f>SUM(C4:C34)+O38</f>
        <v>27</v>
      </c>
      <c r="E38">
        <f>SUM(E4:E34)+O38</f>
        <v>28</v>
      </c>
      <c r="G38">
        <f>SUM(G4:G34)+O38</f>
        <v>30</v>
      </c>
      <c r="I38">
        <f>SUM(I4:I34)+O38</f>
        <v>31</v>
      </c>
      <c r="K38">
        <f>SUM(K4:K34)+O38</f>
        <v>31</v>
      </c>
      <c r="M38">
        <f>SUM(M4:M34)+O38</f>
        <v>31</v>
      </c>
      <c r="P38">
        <f>COUNTIF(P4:P34,"○")</f>
        <v>5</v>
      </c>
    </row>
    <row r="39">
      <c r="A39" t="str">
        <v>計画された時数</v>
      </c>
      <c r="C39">
        <v>27</v>
      </c>
      <c r="E39">
        <v>28</v>
      </c>
      <c r="G39">
        <v>30</v>
      </c>
      <c r="I39">
        <v>31</v>
      </c>
      <c r="K39">
        <v>31</v>
      </c>
      <c r="M39">
        <v>31</v>
      </c>
    </row>
    <row r="40">
      <c r="A40" t="str">
        <v>8月余剰時数</v>
      </c>
      <c r="C40">
        <f>C38-C39</f>
        <v>0</v>
      </c>
      <c r="E40">
        <f>E38-E39</f>
        <v>0</v>
      </c>
      <c r="G40">
        <f>G38-G39</f>
        <v>0</v>
      </c>
      <c r="I40">
        <f>I38-I39</f>
        <v>0</v>
      </c>
      <c r="K40">
        <f>K38-K39</f>
        <v>0</v>
      </c>
      <c r="M40">
        <f>M38-M39</f>
        <v>0</v>
      </c>
    </row>
    <row r="41">
      <c r="Q41">
        <v>3</v>
      </c>
    </row>
  </sheetData>
  <mergeCells count="40">
    <mergeCell ref="M40:N40"/>
    <mergeCell ref="A40:B40"/>
    <mergeCell ref="C40:D40"/>
    <mergeCell ref="E40:F40"/>
    <mergeCell ref="G40:H40"/>
    <mergeCell ref="I40:J40"/>
    <mergeCell ref="K40:L40"/>
    <mergeCell ref="M38:N38"/>
    <mergeCell ref="A39:B39"/>
    <mergeCell ref="C39:D39"/>
    <mergeCell ref="E39:F39"/>
    <mergeCell ref="G39:H39"/>
    <mergeCell ref="I39:J39"/>
    <mergeCell ref="K39:L39"/>
    <mergeCell ref="M39:N39"/>
    <mergeCell ref="A38:B38"/>
    <mergeCell ref="C38:D38"/>
    <mergeCell ref="E38:F38"/>
    <mergeCell ref="G38:H38"/>
    <mergeCell ref="I38:J38"/>
    <mergeCell ref="K38:L38"/>
    <mergeCell ref="B35:Q35"/>
    <mergeCell ref="D36:G36"/>
    <mergeCell ref="A37:B37"/>
    <mergeCell ref="C37:D37"/>
    <mergeCell ref="E37:F37"/>
    <mergeCell ref="G37:H37"/>
    <mergeCell ref="I37:J37"/>
    <mergeCell ref="K37:L37"/>
    <mergeCell ref="M37:N37"/>
    <mergeCell ref="A1:D1"/>
    <mergeCell ref="P1:Q1"/>
    <mergeCell ref="A2:D2"/>
    <mergeCell ref="H2:O2"/>
    <mergeCell ref="C3:D3"/>
    <mergeCell ref="E3:F3"/>
    <mergeCell ref="G3:H3"/>
    <mergeCell ref="I3:J3"/>
    <mergeCell ref="K3:L3"/>
    <mergeCell ref="M3:N3"/>
  </mergeCells>
  <pageMargins left="0.7086614173228347" right="0.4724409448818898" top="0.3937007874015748" bottom="0.4330708661417323" header="0.31496062992125984" footer="0.31496062992125984"/>
  <ignoredErrors>
    <ignoredError numberStoredAsText="1" sqref="A1:Q42"/>
  </ignoredErrors>
</worksheet>
</file>

<file path=xl/worksheets/sheet14.xml><?xml version="1.0" encoding="utf-8"?>
<worksheet xmlns="http://schemas.openxmlformats.org/spreadsheetml/2006/main" xmlns:r="http://schemas.openxmlformats.org/officeDocument/2006/relationships">
  <dimension ref="A1:Q41"/>
  <sheetViews>
    <sheetView workbookViewId="0" rightToLeft="0"/>
  </sheetViews>
  <sheetData>
    <row r="2">
      <c r="A2" t="str">
        <v>令和8年度</v>
      </c>
      <c r="F2">
        <v>9</v>
      </c>
      <c r="G2" t="str">
        <v>月</v>
      </c>
      <c r="H2" t="str">
        <v>授業時数･下校予定時刻一覧表</v>
      </c>
      <c r="Q2" t="str">
        <v>本宮市立本宮まゆみ小学校</v>
      </c>
    </row>
    <row r="3">
      <c r="A3" t="str">
        <v>日</v>
      </c>
      <c r="B3" t="str">
        <v>曜</v>
      </c>
      <c r="C3" t="str">
        <v>１学年</v>
      </c>
      <c r="E3" t="str">
        <v>２学年</v>
      </c>
      <c r="G3" t="str">
        <v>３学年</v>
      </c>
      <c r="I3" t="str">
        <v>４学年</v>
      </c>
      <c r="K3" t="str">
        <v>５学年</v>
      </c>
      <c r="M3" t="str">
        <v>６学年</v>
      </c>
      <c r="O3" t="str">
        <v>特別日程</v>
      </c>
      <c r="P3" t="str">
        <v>給食</v>
      </c>
      <c r="Q3" t="str">
        <v>行　　事　　等</v>
      </c>
    </row>
    <row r="4" xml:space="preserve">
      <c r="A4">
        <v>1</v>
      </c>
      <c r="B4" t="str">
        <v>火</v>
      </c>
      <c r="C4">
        <v>5</v>
      </c>
      <c r="D4">
        <v>0.6006944444444444</v>
      </c>
      <c r="E4">
        <v>5</v>
      </c>
      <c r="F4">
        <v>0.6006944444444444</v>
      </c>
      <c r="G4">
        <v>5</v>
      </c>
      <c r="H4">
        <v>0.6006944444444444</v>
      </c>
      <c r="I4">
        <v>6</v>
      </c>
      <c r="J4">
        <v>0.6354166666666666</v>
      </c>
      <c r="K4">
        <v>6</v>
      </c>
      <c r="L4">
        <v>0.6354166666666666</v>
      </c>
      <c r="M4">
        <v>6</v>
      </c>
      <c r="N4">
        <v>0.6354166666666666</v>
      </c>
      <c r="P4" t="str">
        <v>弁</v>
      </c>
      <c r="Q4" t="str" xml:space="preserve">
        <v xml:space="preserve">弁当日、生徒指導・現職教育委員会_x000d_
県下小中学校音楽祭（喜多方プ）</v>
      </c>
    </row>
    <row r="5">
      <c r="A5">
        <v>2</v>
      </c>
      <c r="B5" t="str">
        <v>水</v>
      </c>
      <c r="C5">
        <v>4</v>
      </c>
      <c r="D5">
        <v>0.5416666666666666</v>
      </c>
      <c r="E5">
        <v>5</v>
      </c>
      <c r="F5">
        <v>0.5833333333333334</v>
      </c>
      <c r="G5">
        <v>5</v>
      </c>
      <c r="H5">
        <v>0.5833333333333334</v>
      </c>
      <c r="I5">
        <v>5</v>
      </c>
      <c r="J5">
        <v>0.5833333333333334</v>
      </c>
      <c r="K5">
        <v>5</v>
      </c>
      <c r="L5">
        <v>0.5833333333333334</v>
      </c>
      <c r="M5">
        <v>5</v>
      </c>
      <c r="N5">
        <v>0.5833333333333334</v>
      </c>
      <c r="O5" t="str">
        <v>短縮</v>
      </c>
      <c r="P5" t="str">
        <v>○</v>
      </c>
      <c r="Q5" t="str">
        <v>【短】個別懇談3、食に関する授業②③(5年：学)</v>
      </c>
    </row>
    <row r="6">
      <c r="A6">
        <v>3</v>
      </c>
      <c r="B6" t="str">
        <v>木</v>
      </c>
      <c r="C6">
        <v>4</v>
      </c>
      <c r="D6">
        <v>0.5416666666666666</v>
      </c>
      <c r="E6">
        <v>5</v>
      </c>
      <c r="F6">
        <v>0.5833333333333334</v>
      </c>
      <c r="G6">
        <v>5</v>
      </c>
      <c r="H6">
        <v>0.5833333333333334</v>
      </c>
      <c r="I6">
        <v>5</v>
      </c>
      <c r="J6">
        <v>0.5833333333333334</v>
      </c>
      <c r="K6">
        <v>5</v>
      </c>
      <c r="L6">
        <v>0.5833333333333334</v>
      </c>
      <c r="M6">
        <v>5</v>
      </c>
      <c r="N6">
        <v>0.5833333333333334</v>
      </c>
      <c r="O6" t="str">
        <v>短縮</v>
      </c>
      <c r="P6" t="str">
        <v>○</v>
      </c>
      <c r="Q6" t="str">
        <v>【短】個別懇談4</v>
      </c>
    </row>
    <row r="7" xml:space="preserve">
      <c r="A7">
        <v>4</v>
      </c>
      <c r="B7" t="str">
        <v>金</v>
      </c>
      <c r="C7">
        <v>4</v>
      </c>
      <c r="D7">
        <v>0.5416666666666666</v>
      </c>
      <c r="E7">
        <v>5</v>
      </c>
      <c r="F7">
        <v>0.5833333333333334</v>
      </c>
      <c r="G7">
        <v>5</v>
      </c>
      <c r="H7">
        <v>0.5833333333333334</v>
      </c>
      <c r="I7">
        <v>5</v>
      </c>
      <c r="J7">
        <v>0.5833333333333334</v>
      </c>
      <c r="K7">
        <v>5</v>
      </c>
      <c r="L7">
        <v>0.5833333333333334</v>
      </c>
      <c r="M7">
        <v>5</v>
      </c>
      <c r="N7">
        <v>0.5833333333333334</v>
      </c>
      <c r="O7" t="str">
        <v>短縮</v>
      </c>
      <c r="P7" t="str">
        <v>○</v>
      </c>
      <c r="Q7" t="str" xml:space="preserve">
        <v xml:space="preserve">【短】個別懇談5_x000d_
※８月月案反省提出</v>
      </c>
    </row>
    <row r="8">
      <c r="A8">
        <v>5</v>
      </c>
      <c r="B8" t="str">
        <v>土</v>
      </c>
    </row>
    <row r="9">
      <c r="A9">
        <v>6</v>
      </c>
      <c r="B9" t="str">
        <v>日</v>
      </c>
    </row>
    <row r="10">
      <c r="A10">
        <v>7</v>
      </c>
      <c r="B10" t="str">
        <v>月</v>
      </c>
      <c r="C10">
        <v>4</v>
      </c>
      <c r="D10">
        <v>0.5416666666666666</v>
      </c>
      <c r="E10">
        <v>4</v>
      </c>
      <c r="F10">
        <v>0.5416666666666666</v>
      </c>
      <c r="G10">
        <v>5</v>
      </c>
      <c r="H10">
        <v>0.5833333333333334</v>
      </c>
      <c r="I10">
        <v>5</v>
      </c>
      <c r="J10">
        <v>0.5833333333333334</v>
      </c>
      <c r="K10">
        <v>5</v>
      </c>
      <c r="L10">
        <v>0.5833333333333334</v>
      </c>
      <c r="M10">
        <v>5</v>
      </c>
      <c r="N10">
        <v>0.5833333333333334</v>
      </c>
      <c r="O10" t="str">
        <v>短縮</v>
      </c>
      <c r="P10" t="str">
        <v>○</v>
      </c>
      <c r="Q10" t="str">
        <v>【短】個別懇談予備日、ドリーム文庫配本</v>
      </c>
    </row>
    <row r="11">
      <c r="A11">
        <v>8</v>
      </c>
      <c r="B11" t="str">
        <v>火</v>
      </c>
      <c r="C11">
        <v>5</v>
      </c>
      <c r="D11">
        <v>0.5833333333333334</v>
      </c>
      <c r="E11">
        <v>5</v>
      </c>
      <c r="F11">
        <v>0.5833333333333334</v>
      </c>
      <c r="G11">
        <v>5</v>
      </c>
      <c r="H11">
        <v>0.5833333333333334</v>
      </c>
      <c r="I11">
        <v>5</v>
      </c>
      <c r="J11">
        <v>0.5833333333333334</v>
      </c>
      <c r="K11">
        <v>5</v>
      </c>
      <c r="L11">
        <v>0.5833333333333334</v>
      </c>
      <c r="M11">
        <v>5</v>
      </c>
      <c r="N11">
        <v>0.5833333333333334</v>
      </c>
      <c r="O11" t="str">
        <v>短縮</v>
      </c>
      <c r="P11" t="str">
        <v>○</v>
      </c>
      <c r="Q11" t="str">
        <v>【短】前期事務整理1</v>
      </c>
    </row>
    <row r="12">
      <c r="A12">
        <v>9</v>
      </c>
      <c r="B12" t="str">
        <v>水</v>
      </c>
      <c r="C12">
        <v>5</v>
      </c>
      <c r="D12">
        <v>0.5833333333333334</v>
      </c>
      <c r="E12">
        <v>5</v>
      </c>
      <c r="F12">
        <v>0.5833333333333334</v>
      </c>
      <c r="G12">
        <v>5</v>
      </c>
      <c r="H12">
        <v>0.5833333333333334</v>
      </c>
      <c r="I12">
        <v>5</v>
      </c>
      <c r="J12">
        <v>0.5833333333333334</v>
      </c>
      <c r="K12">
        <v>5</v>
      </c>
      <c r="L12">
        <v>0.5833333333333334</v>
      </c>
      <c r="M12">
        <v>5</v>
      </c>
      <c r="N12">
        <v>0.5833333333333334</v>
      </c>
      <c r="O12" t="str">
        <v>短縮</v>
      </c>
      <c r="P12" t="str">
        <v>○</v>
      </c>
      <c r="Q12" t="str">
        <v>【短】前期事務整理2</v>
      </c>
    </row>
    <row r="13">
      <c r="A13">
        <v>10</v>
      </c>
      <c r="B13" t="str">
        <v>木</v>
      </c>
      <c r="C13">
        <v>4</v>
      </c>
      <c r="D13">
        <v>0.5416666666666666</v>
      </c>
      <c r="E13">
        <v>5</v>
      </c>
      <c r="F13">
        <v>0.5833333333333334</v>
      </c>
      <c r="G13">
        <v>5</v>
      </c>
      <c r="H13">
        <v>0.5833333333333334</v>
      </c>
      <c r="I13">
        <v>5</v>
      </c>
      <c r="J13">
        <v>0.5833333333333334</v>
      </c>
      <c r="K13">
        <v>5</v>
      </c>
      <c r="L13">
        <v>0.5833333333333334</v>
      </c>
      <c r="M13">
        <v>5</v>
      </c>
      <c r="N13">
        <v>0.5833333333333334</v>
      </c>
      <c r="O13" t="str">
        <v>短縮</v>
      </c>
      <c r="P13" t="str">
        <v>○</v>
      </c>
      <c r="Q13" t="str">
        <v>【短】前期事務整理3、県北教育事務所長訪問、※口座振替日1</v>
      </c>
    </row>
    <row r="14">
      <c r="A14">
        <v>11</v>
      </c>
      <c r="B14" t="str">
        <v>金</v>
      </c>
      <c r="C14">
        <v>5</v>
      </c>
      <c r="D14">
        <v>0.6180555555555556</v>
      </c>
      <c r="E14">
        <v>5</v>
      </c>
      <c r="F14">
        <v>0.6180555555555556</v>
      </c>
      <c r="G14">
        <v>5</v>
      </c>
      <c r="H14">
        <v>0.6180555555555556</v>
      </c>
      <c r="I14">
        <v>5</v>
      </c>
      <c r="J14">
        <v>0.6180555555555556</v>
      </c>
      <c r="K14">
        <v>5</v>
      </c>
      <c r="L14">
        <v>0.6180555555555556</v>
      </c>
      <c r="M14">
        <v>5</v>
      </c>
      <c r="N14">
        <v>0.6180555555555556</v>
      </c>
      <c r="P14" t="str">
        <v>○</v>
      </c>
      <c r="Q14" t="str">
        <v>食に関する授業②③(3年:学)、校内就学指導委員会3、読み聞かせボラ1-1(業間、和室)</v>
      </c>
    </row>
    <row r="15">
      <c r="A15">
        <v>12</v>
      </c>
      <c r="B15" t="str">
        <v>土</v>
      </c>
    </row>
    <row r="16">
      <c r="A16">
        <v>13</v>
      </c>
      <c r="B16" t="str">
        <v>日</v>
      </c>
    </row>
    <row r="17">
      <c r="A17">
        <v>14</v>
      </c>
      <c r="B17" t="str">
        <v>月</v>
      </c>
      <c r="C17">
        <v>5</v>
      </c>
      <c r="D17">
        <v>0.5833333333333334</v>
      </c>
      <c r="E17">
        <v>5</v>
      </c>
      <c r="F17">
        <v>0.5833333333333334</v>
      </c>
      <c r="G17">
        <v>5</v>
      </c>
      <c r="H17">
        <v>0.5833333333333334</v>
      </c>
      <c r="I17">
        <v>5</v>
      </c>
      <c r="J17">
        <v>0.5833333333333334</v>
      </c>
      <c r="K17">
        <v>5</v>
      </c>
      <c r="L17">
        <v>0.5833333333333334</v>
      </c>
      <c r="M17">
        <v>5</v>
      </c>
      <c r="N17">
        <v>0.5833333333333334</v>
      </c>
      <c r="O17" t="str">
        <v>短縮</v>
      </c>
      <c r="P17" t="str">
        <v>○</v>
      </c>
      <c r="Q17" t="str">
        <v>【短】職員会議</v>
      </c>
    </row>
    <row r="18">
      <c r="A18">
        <v>15</v>
      </c>
      <c r="B18" t="str">
        <v>火</v>
      </c>
      <c r="C18">
        <v>5</v>
      </c>
      <c r="D18">
        <v>0.6006944444444444</v>
      </c>
      <c r="E18">
        <v>5</v>
      </c>
      <c r="F18">
        <v>0.6006944444444444</v>
      </c>
      <c r="G18">
        <v>5</v>
      </c>
      <c r="H18">
        <v>0.6006944444444444</v>
      </c>
      <c r="I18">
        <v>6</v>
      </c>
      <c r="J18">
        <v>0.6354166666666666</v>
      </c>
      <c r="K18">
        <v>6</v>
      </c>
      <c r="L18">
        <v>0.6354166666666666</v>
      </c>
      <c r="M18">
        <v>6</v>
      </c>
      <c r="N18">
        <v>0.6354166666666666</v>
      </c>
      <c r="P18" t="str">
        <v>○</v>
      </c>
    </row>
    <row r="19" xml:space="preserve">
      <c r="A19">
        <v>16</v>
      </c>
      <c r="B19" t="str">
        <v>水</v>
      </c>
      <c r="C19">
        <v>5</v>
      </c>
      <c r="D19">
        <v>0.6180555555555556</v>
      </c>
      <c r="E19">
        <v>5</v>
      </c>
      <c r="F19">
        <v>0.6180555555555556</v>
      </c>
      <c r="G19">
        <v>6</v>
      </c>
      <c r="H19">
        <v>0.6527777777777778</v>
      </c>
      <c r="I19">
        <v>6</v>
      </c>
      <c r="J19">
        <v>0.6527777777777778</v>
      </c>
      <c r="K19">
        <v>6</v>
      </c>
      <c r="L19">
        <v>0.6527777777777778</v>
      </c>
      <c r="M19">
        <v>6</v>
      </c>
      <c r="N19" t="str">
        <v>-</v>
      </c>
      <c r="P19" t="str">
        <v>弁</v>
      </c>
      <c r="Q19" t="str" xml:space="preserve">
        <v xml:space="preserve">修学旅行1日目(6年：行2、教4)、弁当日、_x000d_
夢の教室5年③～⑥、読み聞かせ1年13:00</v>
      </c>
    </row>
    <row r="20" xml:space="preserve">
      <c r="A20">
        <v>17</v>
      </c>
      <c r="B20" t="str">
        <v>木</v>
      </c>
      <c r="C20">
        <v>4</v>
      </c>
      <c r="D20">
        <v>0.5868055555555556</v>
      </c>
      <c r="E20">
        <v>5</v>
      </c>
      <c r="F20">
        <v>0.6180555555555556</v>
      </c>
      <c r="G20">
        <v>6</v>
      </c>
      <c r="H20">
        <v>0.6527777777777778</v>
      </c>
      <c r="I20">
        <v>6</v>
      </c>
      <c r="J20">
        <v>0.6527777777777778</v>
      </c>
      <c r="K20">
        <v>6</v>
      </c>
      <c r="L20">
        <v>0.6527777777777778</v>
      </c>
      <c r="M20">
        <v>6</v>
      </c>
      <c r="N20">
        <v>0.6875</v>
      </c>
      <c r="P20" t="str">
        <v>弁</v>
      </c>
      <c r="Q20" t="str" xml:space="preserve">
        <v xml:space="preserve">修学旅行2日目(6年：行2、教4)、弁当日_x000d_
【月水金日程】</v>
      </c>
    </row>
    <row r="21">
      <c r="A21">
        <v>18</v>
      </c>
      <c r="B21" t="str">
        <v>金</v>
      </c>
      <c r="C21">
        <v>5</v>
      </c>
      <c r="D21">
        <v>0.6006944444444444</v>
      </c>
      <c r="E21">
        <v>5</v>
      </c>
      <c r="F21">
        <v>0.6006944444444444</v>
      </c>
      <c r="G21">
        <v>5</v>
      </c>
      <c r="H21">
        <v>0.6006944444444444</v>
      </c>
      <c r="I21">
        <v>5</v>
      </c>
      <c r="J21">
        <v>0.6006944444444444</v>
      </c>
      <c r="K21">
        <v>5</v>
      </c>
      <c r="L21">
        <v>0.6006944444444444</v>
      </c>
      <c r="M21">
        <v>5</v>
      </c>
      <c r="N21">
        <v>0.6006944444444444</v>
      </c>
      <c r="P21" t="str">
        <v>○</v>
      </c>
      <c r="Q21" t="str">
        <v>【火木日程】、モトム号、アニマシオンまゆさく②、読み聞かせボラ1-2(業間、和室)</v>
      </c>
    </row>
    <row r="22">
      <c r="A22">
        <v>19</v>
      </c>
      <c r="B22" t="str">
        <v>土</v>
      </c>
    </row>
    <row r="23">
      <c r="A23">
        <v>20</v>
      </c>
      <c r="B23" t="str">
        <v>日</v>
      </c>
    </row>
    <row r="24">
      <c r="A24">
        <v>21</v>
      </c>
      <c r="B24" t="str">
        <v>月</v>
      </c>
      <c r="Q24" t="str">
        <v>敬老の日</v>
      </c>
    </row>
    <row r="25">
      <c r="A25">
        <v>22</v>
      </c>
      <c r="B25" t="str">
        <v>火</v>
      </c>
      <c r="Q25" t="str">
        <v>国民の祝日</v>
      </c>
    </row>
    <row r="26">
      <c r="A26">
        <v>23</v>
      </c>
      <c r="B26" t="str">
        <v>水</v>
      </c>
      <c r="Q26" t="str">
        <v>秋分の日</v>
      </c>
    </row>
    <row r="27" xml:space="preserve">
      <c r="A27">
        <v>24</v>
      </c>
      <c r="B27" t="str">
        <v>木</v>
      </c>
      <c r="C27">
        <v>4</v>
      </c>
      <c r="D27">
        <v>0.5694444444444444</v>
      </c>
      <c r="E27">
        <v>5</v>
      </c>
      <c r="F27">
        <v>0.6006944444444444</v>
      </c>
      <c r="G27">
        <v>6</v>
      </c>
      <c r="H27">
        <v>0.6354166666666666</v>
      </c>
      <c r="I27">
        <v>6</v>
      </c>
      <c r="J27">
        <v>0.6354166666666666</v>
      </c>
      <c r="K27">
        <v>6</v>
      </c>
      <c r="L27">
        <v>0.6354166666666666</v>
      </c>
      <c r="M27">
        <v>6</v>
      </c>
      <c r="N27">
        <v>0.6354166666666666</v>
      </c>
      <c r="P27" t="str">
        <v>○</v>
      </c>
      <c r="Q27" t="str" xml:space="preserve">
        <v xml:space="preserve">食に関する授業②③(6年：学)_x000d_
※10月時間割提出</v>
      </c>
    </row>
    <row r="28" xml:space="preserve">
      <c r="A28">
        <v>25</v>
      </c>
      <c r="B28" t="str">
        <v>金</v>
      </c>
      <c r="C28">
        <v>5</v>
      </c>
      <c r="D28">
        <v>0.6180555555555556</v>
      </c>
      <c r="E28">
        <v>5</v>
      </c>
      <c r="F28">
        <v>0.6180555555555556</v>
      </c>
      <c r="G28">
        <v>5</v>
      </c>
      <c r="H28">
        <v>0.6180555555555556</v>
      </c>
      <c r="I28">
        <v>5</v>
      </c>
      <c r="J28">
        <v>0.6180555555555556</v>
      </c>
      <c r="K28">
        <v>5</v>
      </c>
      <c r="L28">
        <v>0.6180555555555556</v>
      </c>
      <c r="M28">
        <v>5</v>
      </c>
      <c r="N28">
        <v>0.6180555555555556</v>
      </c>
      <c r="P28" t="str">
        <v>○</v>
      </c>
      <c r="Q28" t="str" xml:space="preserve">
        <v xml:space="preserve">学校運営協議会3_x000d_
※口座振替日2</v>
      </c>
    </row>
    <row r="29">
      <c r="A29">
        <v>26</v>
      </c>
      <c r="B29" t="str">
        <v>土</v>
      </c>
    </row>
    <row r="30">
      <c r="A30">
        <v>27</v>
      </c>
      <c r="B30" t="str">
        <v>日</v>
      </c>
    </row>
    <row r="31">
      <c r="A31">
        <v>28</v>
      </c>
      <c r="B31" t="str">
        <v>月</v>
      </c>
      <c r="C31">
        <v>4</v>
      </c>
      <c r="D31">
        <v>0.5868055555555556</v>
      </c>
      <c r="E31">
        <v>4</v>
      </c>
      <c r="F31">
        <v>0.5868055555555556</v>
      </c>
      <c r="G31">
        <v>5</v>
      </c>
      <c r="H31">
        <v>0.6180555555555556</v>
      </c>
      <c r="I31">
        <v>5</v>
      </c>
      <c r="J31">
        <v>0.6180555555555556</v>
      </c>
      <c r="K31">
        <v>5</v>
      </c>
      <c r="L31">
        <v>0.6180555555555556</v>
      </c>
      <c r="M31">
        <v>5</v>
      </c>
      <c r="N31">
        <v>0.6180555555555556</v>
      </c>
      <c r="P31" t="str">
        <v>○</v>
      </c>
    </row>
    <row r="32">
      <c r="A32">
        <v>29</v>
      </c>
      <c r="B32" t="str">
        <v>火</v>
      </c>
      <c r="C32">
        <v>5</v>
      </c>
      <c r="D32">
        <v>0.6006944444444444</v>
      </c>
      <c r="E32">
        <v>5</v>
      </c>
      <c r="F32">
        <v>0.6006944444444444</v>
      </c>
      <c r="G32">
        <v>5</v>
      </c>
      <c r="H32">
        <v>0.6006944444444444</v>
      </c>
      <c r="I32">
        <v>6</v>
      </c>
      <c r="J32">
        <v>0.6354166666666666</v>
      </c>
      <c r="K32">
        <v>6</v>
      </c>
      <c r="L32">
        <v>0.6354166666666666</v>
      </c>
      <c r="M32">
        <v>6</v>
      </c>
      <c r="N32">
        <v>0.6354166666666666</v>
      </c>
      <c r="P32" t="str">
        <v>○</v>
      </c>
      <c r="Q32" t="str">
        <v>食に関する授業②③(4年:学)</v>
      </c>
    </row>
    <row r="33" xml:space="preserve">
      <c r="A33">
        <v>30</v>
      </c>
      <c r="B33" t="str">
        <v>水</v>
      </c>
      <c r="C33">
        <v>5</v>
      </c>
      <c r="D33">
        <v>0.6180555555555556</v>
      </c>
      <c r="E33">
        <v>5</v>
      </c>
      <c r="F33">
        <v>0.6180555555555556</v>
      </c>
      <c r="G33">
        <v>5</v>
      </c>
      <c r="H33">
        <v>0.6180555555555556</v>
      </c>
      <c r="I33">
        <v>5</v>
      </c>
      <c r="J33">
        <v>0.6180555555555556</v>
      </c>
      <c r="K33">
        <v>5</v>
      </c>
      <c r="L33">
        <v>0.6180555555555556</v>
      </c>
      <c r="M33">
        <v>5</v>
      </c>
      <c r="N33">
        <v>0.6180555555555556</v>
      </c>
      <c r="P33" t="str">
        <v>○</v>
      </c>
      <c r="Q33" t="str" xml:space="preserve">
        <v xml:space="preserve">前期通知表配付、ブックトーク6年②_x000d_
※月末統計</v>
      </c>
    </row>
    <row r="34" xml:space="preserve">
      <c r="A34" t="str">
        <v>留意点</v>
      </c>
      <c r="B34" t="str" xml:space="preserve">
        <v xml:space="preserve">○食に関する授業　9/2(水)②③(5年)、9/24(木)②③(6年)に変更になっております。_x000d_
○9/10(木)に県北教育事務所長訪問になります。_x000d_
○9/15(火)の６年⑥は、分科対応でお願いします(修学旅行調整のため)。_x000d_
○9/16(水）③～⑥5年夢の教室のため、他学年は体育館使えません。_x000d_
○9/17(木)が【月水金日程】に、9/18(金)が【火木日程】になります(修学旅行調整のため)。_x000d_
○9/28(月)６年が５校時になります。</v>
      </c>
    </row>
    <row r="35">
      <c r="B35">
        <f>F2</f>
        <v>9</v>
      </c>
      <c r="C35" t="str">
        <v>月</v>
      </c>
      <c r="D35" t="str">
        <v>実施時数予定</v>
      </c>
    </row>
    <row r="36">
      <c r="C36" t="str">
        <v>１年</v>
      </c>
      <c r="E36" t="str">
        <v>２年</v>
      </c>
      <c r="G36" t="str">
        <v>３年</v>
      </c>
      <c r="I36" t="str">
        <v>４年</v>
      </c>
      <c r="K36" t="str">
        <v>５年</v>
      </c>
      <c r="M36" t="str">
        <v>６年</v>
      </c>
      <c r="O36" t="str">
        <v>Ｍ時数</v>
      </c>
      <c r="P36" t="str">
        <v>食数</v>
      </c>
    </row>
    <row r="37">
      <c r="A37" t="str">
        <v>実施できる時数</v>
      </c>
      <c r="C37">
        <f>SUM(C4:C33)+O37</f>
        <v>87</v>
      </c>
      <c r="E37">
        <f>SUM(E4:E33)+O37</f>
        <v>93</v>
      </c>
      <c r="G37">
        <f>SUM(G4:G33)+O37</f>
        <v>98</v>
      </c>
      <c r="I37">
        <f>SUM(I4:I33)+O37</f>
        <v>101</v>
      </c>
      <c r="K37">
        <f>SUM(K4:K33)+O37</f>
        <v>101</v>
      </c>
      <c r="M37">
        <f>SUM(M4:M33)+O37</f>
        <v>101</v>
      </c>
      <c r="P37">
        <f>COUNTIF(P3:P33,"○")</f>
        <v>16</v>
      </c>
    </row>
    <row r="38">
      <c r="A38" t="str">
        <v>計画された時数</v>
      </c>
      <c r="C38">
        <v>86</v>
      </c>
      <c r="E38">
        <v>92</v>
      </c>
      <c r="G38">
        <v>97</v>
      </c>
      <c r="I38">
        <v>100</v>
      </c>
      <c r="K38">
        <v>100</v>
      </c>
      <c r="M38">
        <v>100</v>
      </c>
    </row>
    <row r="39">
      <c r="A39" t="str">
        <v>9月余剰時数</v>
      </c>
      <c r="C39">
        <f>C37-C38</f>
        <v>1</v>
      </c>
      <c r="E39">
        <f>E37-E38</f>
        <v>1</v>
      </c>
      <c r="G39">
        <f>G37-G38</f>
        <v>1</v>
      </c>
      <c r="I39">
        <f>I37-I38</f>
        <v>1</v>
      </c>
      <c r="K39">
        <f>K37-K38</f>
        <v>1</v>
      </c>
      <c r="M39">
        <f>M37-M38</f>
        <v>1</v>
      </c>
    </row>
    <row r="40">
      <c r="Q40">
        <v>3</v>
      </c>
    </row>
  </sheetData>
  <mergeCells count="40">
    <mergeCell ref="M39:N39"/>
    <mergeCell ref="A39:B39"/>
    <mergeCell ref="C39:D39"/>
    <mergeCell ref="E39:F39"/>
    <mergeCell ref="G39:H39"/>
    <mergeCell ref="I39:J39"/>
    <mergeCell ref="K39:L39"/>
    <mergeCell ref="M37:N37"/>
    <mergeCell ref="A38:B38"/>
    <mergeCell ref="C38:D38"/>
    <mergeCell ref="E38:F38"/>
    <mergeCell ref="G38:H38"/>
    <mergeCell ref="I38:J38"/>
    <mergeCell ref="K38:L38"/>
    <mergeCell ref="M38:N38"/>
    <mergeCell ref="A37:B37"/>
    <mergeCell ref="C37:D37"/>
    <mergeCell ref="E37:F37"/>
    <mergeCell ref="G37:H37"/>
    <mergeCell ref="I37:J37"/>
    <mergeCell ref="K37:L37"/>
    <mergeCell ref="B34:Q34"/>
    <mergeCell ref="D35:G35"/>
    <mergeCell ref="A36:B36"/>
    <mergeCell ref="C36:D36"/>
    <mergeCell ref="E36:F36"/>
    <mergeCell ref="G36:H36"/>
    <mergeCell ref="I36:J36"/>
    <mergeCell ref="K36:L36"/>
    <mergeCell ref="M36:N36"/>
    <mergeCell ref="A1:D1"/>
    <mergeCell ref="O1:Q1"/>
    <mergeCell ref="A2:D2"/>
    <mergeCell ref="H2:O2"/>
    <mergeCell ref="C3:D3"/>
    <mergeCell ref="E3:F3"/>
    <mergeCell ref="G3:H3"/>
    <mergeCell ref="I3:J3"/>
    <mergeCell ref="K3:L3"/>
    <mergeCell ref="M3:N3"/>
  </mergeCells>
  <pageMargins left="0.4724409448818898" right="0.4724409448818898" top="0.3937007874015748" bottom="0.4330708661417323" header="0.31496062992125984" footer="0.31496062992125984"/>
  <ignoredErrors>
    <ignoredError numberStoredAsText="1" sqref="A1:Q41"/>
  </ignoredErrors>
</worksheet>
</file>

<file path=xl/worksheets/sheet15.xml><?xml version="1.0" encoding="utf-8"?>
<worksheet xmlns="http://schemas.openxmlformats.org/spreadsheetml/2006/main" xmlns:r="http://schemas.openxmlformats.org/officeDocument/2006/relationships">
  <dimension ref="A1:Q41"/>
  <sheetViews>
    <sheetView workbookViewId="0" rightToLeft="0"/>
  </sheetViews>
  <sheetData>
    <row r="2">
      <c r="A2" t="str">
        <v>令和8年度</v>
      </c>
      <c r="F2">
        <v>9</v>
      </c>
      <c r="G2" t="str">
        <v>月</v>
      </c>
      <c r="H2" t="str">
        <v>授業時数･下校予定時刻一覧表(7/29版)</v>
      </c>
      <c r="Q2" t="str">
        <v>本宮市立本宮まゆみ小学校</v>
      </c>
    </row>
    <row r="3">
      <c r="A3" t="str">
        <v>日</v>
      </c>
      <c r="B3" t="str">
        <v>曜</v>
      </c>
      <c r="C3" t="str">
        <v>１学年</v>
      </c>
      <c r="E3" t="str">
        <v>２学年</v>
      </c>
      <c r="G3" t="str">
        <v>３学年</v>
      </c>
      <c r="I3" t="str">
        <v>４学年</v>
      </c>
      <c r="K3" t="str">
        <v>５学年</v>
      </c>
      <c r="M3" t="str">
        <v>６学年</v>
      </c>
      <c r="O3" t="str">
        <v>特別日程</v>
      </c>
      <c r="P3" t="str">
        <v>給食</v>
      </c>
      <c r="Q3" t="str">
        <v>行　　事　　等</v>
      </c>
    </row>
    <row r="4" xml:space="preserve">
      <c r="A4">
        <v>1</v>
      </c>
      <c r="B4" t="str">
        <v>火</v>
      </c>
      <c r="C4">
        <v>4</v>
      </c>
      <c r="D4">
        <v>0.5694444444444444</v>
      </c>
      <c r="E4">
        <v>5</v>
      </c>
      <c r="F4">
        <v>0.6006944444444444</v>
      </c>
      <c r="G4">
        <v>5</v>
      </c>
      <c r="H4">
        <v>0.6006944444444444</v>
      </c>
      <c r="I4">
        <v>6</v>
      </c>
      <c r="J4">
        <v>0.6354166666666666</v>
      </c>
      <c r="K4">
        <v>6</v>
      </c>
      <c r="L4">
        <v>0.6354166666666666</v>
      </c>
      <c r="M4">
        <v>6</v>
      </c>
      <c r="N4">
        <v>0.6354166666666666</v>
      </c>
      <c r="P4" t="str">
        <v>弁</v>
      </c>
      <c r="Q4" t="str" xml:space="preserve">
        <v xml:space="preserve">弁当日、生徒指導・現職教育委員会_x000d_
県下小中学校音楽祭（喜多方プ）</v>
      </c>
    </row>
    <row r="5">
      <c r="A5">
        <v>2</v>
      </c>
      <c r="B5" t="str">
        <v>水</v>
      </c>
      <c r="C5">
        <v>4</v>
      </c>
      <c r="D5">
        <v>0.5416666666666666</v>
      </c>
      <c r="E5">
        <v>5</v>
      </c>
      <c r="F5">
        <v>0.5833333333333334</v>
      </c>
      <c r="G5">
        <v>5</v>
      </c>
      <c r="H5">
        <v>0.5833333333333334</v>
      </c>
      <c r="I5">
        <v>5</v>
      </c>
      <c r="J5">
        <v>0.5833333333333334</v>
      </c>
      <c r="K5">
        <v>5</v>
      </c>
      <c r="L5">
        <v>0.5833333333333334</v>
      </c>
      <c r="M5">
        <v>5</v>
      </c>
      <c r="N5">
        <v>0.5833333333333334</v>
      </c>
      <c r="O5" t="str">
        <v>短縮</v>
      </c>
      <c r="P5" t="str">
        <v>○</v>
      </c>
      <c r="Q5" t="str">
        <v>【短】個別懇談3、食に関する授業②③(5年：学)</v>
      </c>
    </row>
    <row r="6">
      <c r="A6">
        <v>3</v>
      </c>
      <c r="B6" t="str">
        <v>木</v>
      </c>
      <c r="C6">
        <v>4</v>
      </c>
      <c r="D6">
        <v>0.5416666666666666</v>
      </c>
      <c r="E6">
        <v>5</v>
      </c>
      <c r="F6">
        <v>0.5833333333333334</v>
      </c>
      <c r="G6">
        <v>5</v>
      </c>
      <c r="H6">
        <v>0.5833333333333334</v>
      </c>
      <c r="I6">
        <v>5</v>
      </c>
      <c r="J6">
        <v>0.5833333333333334</v>
      </c>
      <c r="K6">
        <v>5</v>
      </c>
      <c r="L6">
        <v>0.5833333333333334</v>
      </c>
      <c r="M6">
        <v>5</v>
      </c>
      <c r="N6">
        <v>0.5833333333333334</v>
      </c>
      <c r="O6" t="str">
        <v>短縮</v>
      </c>
      <c r="P6" t="str">
        <v>○</v>
      </c>
      <c r="Q6" t="str">
        <v>【短】個別懇談4</v>
      </c>
    </row>
    <row r="7" xml:space="preserve">
      <c r="A7">
        <v>4</v>
      </c>
      <c r="B7" t="str">
        <v>金</v>
      </c>
      <c r="C7">
        <v>4</v>
      </c>
      <c r="D7">
        <v>0.5416666666666666</v>
      </c>
      <c r="E7">
        <v>5</v>
      </c>
      <c r="F7">
        <v>0.5833333333333334</v>
      </c>
      <c r="G7">
        <v>5</v>
      </c>
      <c r="H7">
        <v>0.5833333333333334</v>
      </c>
      <c r="I7">
        <v>5</v>
      </c>
      <c r="J7">
        <v>0.5833333333333334</v>
      </c>
      <c r="K7">
        <v>5</v>
      </c>
      <c r="L7">
        <v>0.5833333333333334</v>
      </c>
      <c r="M7">
        <v>5</v>
      </c>
      <c r="N7">
        <v>0.5833333333333334</v>
      </c>
      <c r="O7" t="str">
        <v>短縮</v>
      </c>
      <c r="P7" t="str">
        <v>○</v>
      </c>
      <c r="Q7" t="str" xml:space="preserve">
        <v xml:space="preserve">【短】個別懇談5_x000d_
※８月月案反省提出</v>
      </c>
    </row>
    <row r="8">
      <c r="A8">
        <v>5</v>
      </c>
      <c r="B8" t="str">
        <v>土</v>
      </c>
    </row>
    <row r="9">
      <c r="A9">
        <v>6</v>
      </c>
      <c r="B9" t="str">
        <v>日</v>
      </c>
    </row>
    <row r="10">
      <c r="A10">
        <v>7</v>
      </c>
      <c r="B10" t="str">
        <v>月</v>
      </c>
      <c r="C10">
        <v>4</v>
      </c>
      <c r="D10">
        <v>0.5416666666666666</v>
      </c>
      <c r="E10">
        <v>4</v>
      </c>
      <c r="F10">
        <v>0.5416666666666666</v>
      </c>
      <c r="G10">
        <v>5</v>
      </c>
      <c r="H10">
        <v>0.5833333333333334</v>
      </c>
      <c r="I10">
        <v>5</v>
      </c>
      <c r="J10">
        <v>0.5833333333333334</v>
      </c>
      <c r="K10">
        <v>5</v>
      </c>
      <c r="L10">
        <v>0.5833333333333334</v>
      </c>
      <c r="M10">
        <v>5</v>
      </c>
      <c r="N10">
        <v>0.5833333333333334</v>
      </c>
      <c r="O10" t="str">
        <v>短縮</v>
      </c>
      <c r="P10" t="str">
        <v>○</v>
      </c>
      <c r="Q10" t="str">
        <v>【短】個別懇談予備日、ドリーム文庫配本</v>
      </c>
    </row>
    <row r="11">
      <c r="A11">
        <v>8</v>
      </c>
      <c r="B11" t="str">
        <v>火</v>
      </c>
      <c r="C11">
        <v>5</v>
      </c>
      <c r="D11">
        <v>0.5833333333333334</v>
      </c>
      <c r="E11">
        <v>5</v>
      </c>
      <c r="F11">
        <v>0.5833333333333334</v>
      </c>
      <c r="G11">
        <v>5</v>
      </c>
      <c r="H11">
        <v>0.5833333333333334</v>
      </c>
      <c r="I11">
        <v>5</v>
      </c>
      <c r="J11">
        <v>0.5833333333333334</v>
      </c>
      <c r="K11">
        <v>5</v>
      </c>
      <c r="L11">
        <v>0.5833333333333334</v>
      </c>
      <c r="M11">
        <v>5</v>
      </c>
      <c r="N11">
        <v>0.5833333333333334</v>
      </c>
      <c r="O11" t="str">
        <v>短縮</v>
      </c>
      <c r="P11" t="str">
        <v>○</v>
      </c>
      <c r="Q11" t="str">
        <v>【短】前期事務整理1</v>
      </c>
    </row>
    <row r="12">
      <c r="A12">
        <v>9</v>
      </c>
      <c r="B12" t="str">
        <v>水</v>
      </c>
      <c r="C12">
        <v>5</v>
      </c>
      <c r="D12">
        <v>0.5833333333333334</v>
      </c>
      <c r="E12">
        <v>5</v>
      </c>
      <c r="F12">
        <v>0.5833333333333334</v>
      </c>
      <c r="G12">
        <v>5</v>
      </c>
      <c r="H12">
        <v>0.5833333333333334</v>
      </c>
      <c r="I12">
        <v>5</v>
      </c>
      <c r="J12">
        <v>0.5833333333333334</v>
      </c>
      <c r="K12">
        <v>5</v>
      </c>
      <c r="L12">
        <v>0.5833333333333334</v>
      </c>
      <c r="M12">
        <v>5</v>
      </c>
      <c r="N12">
        <v>0.5833333333333334</v>
      </c>
      <c r="O12" t="str">
        <v>短縮</v>
      </c>
      <c r="P12" t="str">
        <v>○</v>
      </c>
      <c r="Q12" t="str">
        <v>【短】前期事務整理2</v>
      </c>
    </row>
    <row r="13">
      <c r="A13">
        <v>10</v>
      </c>
      <c r="B13" t="str">
        <v>木</v>
      </c>
      <c r="C13">
        <v>5</v>
      </c>
      <c r="D13">
        <v>0.5833333333333334</v>
      </c>
      <c r="E13">
        <v>5</v>
      </c>
      <c r="F13">
        <v>0.5833333333333334</v>
      </c>
      <c r="G13">
        <v>5</v>
      </c>
      <c r="H13">
        <v>0.5833333333333334</v>
      </c>
      <c r="I13">
        <v>5</v>
      </c>
      <c r="J13">
        <v>0.5833333333333334</v>
      </c>
      <c r="K13">
        <v>5</v>
      </c>
      <c r="L13">
        <v>0.5833333333333334</v>
      </c>
      <c r="M13">
        <v>5</v>
      </c>
      <c r="N13">
        <v>0.5833333333333334</v>
      </c>
      <c r="O13" t="str">
        <v>短縮</v>
      </c>
      <c r="P13" t="str">
        <v>○</v>
      </c>
      <c r="Q13" t="str">
        <v>【短】前期事務整理3、県北教育事務所長訪問、※口座振替日1</v>
      </c>
    </row>
    <row r="14">
      <c r="A14">
        <v>11</v>
      </c>
      <c r="B14" t="str">
        <v>金</v>
      </c>
      <c r="C14">
        <v>5</v>
      </c>
      <c r="D14">
        <v>0.6180555555555556</v>
      </c>
      <c r="E14">
        <v>5</v>
      </c>
      <c r="F14">
        <v>0.6180555555555556</v>
      </c>
      <c r="G14">
        <v>5</v>
      </c>
      <c r="H14">
        <v>0.6180555555555556</v>
      </c>
      <c r="I14">
        <v>5</v>
      </c>
      <c r="J14">
        <v>0.6180555555555556</v>
      </c>
      <c r="K14">
        <v>5</v>
      </c>
      <c r="L14">
        <v>0.6180555555555556</v>
      </c>
      <c r="M14">
        <v>5</v>
      </c>
      <c r="N14">
        <v>0.6180555555555556</v>
      </c>
      <c r="P14" t="str">
        <v>○</v>
      </c>
      <c r="Q14" t="str">
        <v>食に関する授業②③(3年:学)、校内就学指導委員会3、読み聞かせボラ1-1(業間、和室)、富良野6年4名発表(昼の放送)</v>
      </c>
    </row>
    <row r="15">
      <c r="A15">
        <v>12</v>
      </c>
      <c r="B15" t="str">
        <v>土</v>
      </c>
    </row>
    <row r="16">
      <c r="A16">
        <v>13</v>
      </c>
      <c r="B16" t="str">
        <v>日</v>
      </c>
    </row>
    <row r="17">
      <c r="A17">
        <v>14</v>
      </c>
      <c r="B17" t="str">
        <v>月</v>
      </c>
      <c r="C17">
        <v>5</v>
      </c>
      <c r="D17">
        <v>0.5833333333333334</v>
      </c>
      <c r="E17">
        <v>5</v>
      </c>
      <c r="F17">
        <v>0.5833333333333334</v>
      </c>
      <c r="G17">
        <v>5</v>
      </c>
      <c r="H17">
        <v>0.5833333333333334</v>
      </c>
      <c r="I17">
        <v>5</v>
      </c>
      <c r="J17">
        <v>0.5833333333333334</v>
      </c>
      <c r="K17">
        <v>5</v>
      </c>
      <c r="L17">
        <v>0.5833333333333334</v>
      </c>
      <c r="M17">
        <v>5</v>
      </c>
      <c r="N17">
        <v>0.5833333333333334</v>
      </c>
      <c r="O17" t="str">
        <v>短縮</v>
      </c>
      <c r="P17" t="str">
        <v>○</v>
      </c>
      <c r="Q17" t="str">
        <v>【短】職員会議</v>
      </c>
    </row>
    <row r="18">
      <c r="A18">
        <v>15</v>
      </c>
      <c r="B18" t="str">
        <v>火</v>
      </c>
      <c r="C18">
        <v>5</v>
      </c>
      <c r="D18">
        <v>0.6006944444444444</v>
      </c>
      <c r="E18">
        <v>5</v>
      </c>
      <c r="F18">
        <v>0.6006944444444444</v>
      </c>
      <c r="G18">
        <v>5</v>
      </c>
      <c r="H18">
        <v>0.6006944444444444</v>
      </c>
      <c r="I18">
        <v>6</v>
      </c>
      <c r="J18">
        <v>0.6354166666666666</v>
      </c>
      <c r="K18">
        <v>6</v>
      </c>
      <c r="L18">
        <v>0.6354166666666666</v>
      </c>
      <c r="M18">
        <v>6</v>
      </c>
      <c r="N18">
        <v>0.6354166666666666</v>
      </c>
      <c r="P18" t="str">
        <v>○</v>
      </c>
    </row>
    <row r="19" xml:space="preserve">
      <c r="A19">
        <v>16</v>
      </c>
      <c r="B19" t="str">
        <v>水</v>
      </c>
      <c r="C19">
        <v>5</v>
      </c>
      <c r="D19">
        <v>0.6180555555555556</v>
      </c>
      <c r="E19">
        <v>5</v>
      </c>
      <c r="F19">
        <v>0.6180555555555556</v>
      </c>
      <c r="G19">
        <v>6</v>
      </c>
      <c r="H19">
        <v>0.6527777777777778</v>
      </c>
      <c r="I19">
        <v>6</v>
      </c>
      <c r="J19">
        <v>0.6527777777777778</v>
      </c>
      <c r="K19">
        <v>6</v>
      </c>
      <c r="L19">
        <v>0.6527777777777778</v>
      </c>
      <c r="M19">
        <v>6</v>
      </c>
      <c r="N19" t="str">
        <v>-</v>
      </c>
      <c r="P19" t="str">
        <v>弁</v>
      </c>
      <c r="Q19" t="str" xml:space="preserve">
        <v xml:space="preserve">修学旅行1日目(6年：行2、教4)、弁当日、_x000d_
夢の教室5年③～⑥、読み聞かせ1年13:00(教室)</v>
      </c>
    </row>
    <row r="20" xml:space="preserve">
      <c r="A20">
        <v>17</v>
      </c>
      <c r="B20" t="str">
        <v>木</v>
      </c>
      <c r="C20">
        <v>4</v>
      </c>
      <c r="D20">
        <v>0.5868055555555556</v>
      </c>
      <c r="E20">
        <v>5</v>
      </c>
      <c r="F20">
        <v>0.6180555555555556</v>
      </c>
      <c r="G20">
        <v>6</v>
      </c>
      <c r="H20">
        <v>0.6527777777777778</v>
      </c>
      <c r="I20">
        <v>6</v>
      </c>
      <c r="J20">
        <v>0.6527777777777778</v>
      </c>
      <c r="K20">
        <v>6</v>
      </c>
      <c r="L20">
        <v>0.6527777777777778</v>
      </c>
      <c r="M20">
        <v>6</v>
      </c>
      <c r="N20">
        <v>0.6875</v>
      </c>
      <c r="P20" t="str">
        <v>弁</v>
      </c>
      <c r="Q20" t="str" xml:space="preserve">
        <v xml:space="preserve">修学旅行2日目(6年：行2、教4)、弁当日_x000d_
【月水金日程】</v>
      </c>
    </row>
    <row r="21">
      <c r="A21">
        <v>18</v>
      </c>
      <c r="B21" t="str">
        <v>金</v>
      </c>
      <c r="C21">
        <v>5</v>
      </c>
      <c r="D21">
        <v>0.6006944444444444</v>
      </c>
      <c r="E21">
        <v>5</v>
      </c>
      <c r="F21">
        <v>0.6006944444444444</v>
      </c>
      <c r="G21">
        <v>5</v>
      </c>
      <c r="H21">
        <v>0.6006944444444444</v>
      </c>
      <c r="I21">
        <v>5</v>
      </c>
      <c r="J21">
        <v>0.6006944444444444</v>
      </c>
      <c r="K21">
        <v>5</v>
      </c>
      <c r="L21">
        <v>0.6006944444444444</v>
      </c>
      <c r="M21">
        <v>5</v>
      </c>
      <c r="N21">
        <v>0.6006944444444444</v>
      </c>
      <c r="P21" t="str">
        <v>○</v>
      </c>
      <c r="Q21" t="str">
        <v>【火木日程】、モトム号、アニマシオンまゆさく②、読み聞かせボラ1-2(業間、和室)、6年花育活動①②視聴覚室(予定)</v>
      </c>
    </row>
    <row r="22">
      <c r="A22">
        <v>19</v>
      </c>
      <c r="B22" t="str">
        <v>土</v>
      </c>
    </row>
    <row r="23">
      <c r="A23">
        <v>20</v>
      </c>
      <c r="B23" t="str">
        <v>日</v>
      </c>
    </row>
    <row r="24">
      <c r="A24">
        <v>21</v>
      </c>
      <c r="B24" t="str">
        <v>月</v>
      </c>
      <c r="Q24" t="str">
        <v>敬老の日</v>
      </c>
    </row>
    <row r="25">
      <c r="A25">
        <v>22</v>
      </c>
      <c r="B25" t="str">
        <v>火</v>
      </c>
      <c r="Q25" t="str">
        <v>国民の祝日</v>
      </c>
    </row>
    <row r="26">
      <c r="A26">
        <v>23</v>
      </c>
      <c r="B26" t="str">
        <v>水</v>
      </c>
      <c r="Q26" t="str">
        <v>秋分の日</v>
      </c>
    </row>
    <row r="27" xml:space="preserve">
      <c r="A27">
        <v>24</v>
      </c>
      <c r="B27" t="str">
        <v>木</v>
      </c>
      <c r="C27">
        <v>4</v>
      </c>
      <c r="D27">
        <v>0.5694444444444444</v>
      </c>
      <c r="E27">
        <v>5</v>
      </c>
      <c r="F27">
        <v>0.6006944444444444</v>
      </c>
      <c r="G27">
        <v>6</v>
      </c>
      <c r="H27">
        <v>0.6354166666666666</v>
      </c>
      <c r="I27">
        <v>6</v>
      </c>
      <c r="J27">
        <v>0.6354166666666666</v>
      </c>
      <c r="K27">
        <v>6</v>
      </c>
      <c r="L27">
        <v>0.6354166666666666</v>
      </c>
      <c r="M27">
        <v>6</v>
      </c>
      <c r="N27">
        <v>0.6354166666666666</v>
      </c>
      <c r="P27" t="str">
        <v>○</v>
      </c>
      <c r="Q27" t="str" xml:space="preserve">
        <v xml:space="preserve">食に関する授業②③(6年：学)_x000d_
※10月時間割提出</v>
      </c>
    </row>
    <row r="28" xml:space="preserve">
      <c r="A28">
        <v>25</v>
      </c>
      <c r="B28" t="str">
        <v>金</v>
      </c>
      <c r="C28">
        <v>5</v>
      </c>
      <c r="D28">
        <v>0.6180555555555556</v>
      </c>
      <c r="E28">
        <v>5</v>
      </c>
      <c r="F28">
        <v>0.6180555555555556</v>
      </c>
      <c r="G28">
        <v>5</v>
      </c>
      <c r="H28">
        <v>0.6180555555555556</v>
      </c>
      <c r="I28">
        <v>5</v>
      </c>
      <c r="J28">
        <v>0.6180555555555556</v>
      </c>
      <c r="K28">
        <v>5</v>
      </c>
      <c r="L28">
        <v>0.6180555555555556</v>
      </c>
      <c r="M28">
        <v>5</v>
      </c>
      <c r="N28">
        <v>0.6180555555555556</v>
      </c>
      <c r="P28" t="str">
        <v>○</v>
      </c>
      <c r="Q28" t="str" xml:space="preserve">
        <v xml:space="preserve">学校運営協議会3_x000d_
※口座振替日2</v>
      </c>
    </row>
    <row r="29">
      <c r="A29">
        <v>26</v>
      </c>
      <c r="B29" t="str">
        <v>土</v>
      </c>
    </row>
    <row r="30">
      <c r="A30">
        <v>27</v>
      </c>
      <c r="B30" t="str">
        <v>日</v>
      </c>
    </row>
    <row r="31">
      <c r="A31">
        <v>28</v>
      </c>
      <c r="B31" t="str">
        <v>月</v>
      </c>
      <c r="C31">
        <v>4</v>
      </c>
      <c r="D31">
        <v>0.5868055555555556</v>
      </c>
      <c r="E31">
        <v>4</v>
      </c>
      <c r="F31">
        <v>0.5868055555555556</v>
      </c>
      <c r="G31">
        <v>5</v>
      </c>
      <c r="H31">
        <v>0.6180555555555556</v>
      </c>
      <c r="I31">
        <v>5</v>
      </c>
      <c r="J31">
        <v>0.6180555555555556</v>
      </c>
      <c r="K31">
        <v>5</v>
      </c>
      <c r="L31">
        <v>0.6180555555555556</v>
      </c>
      <c r="M31">
        <v>5</v>
      </c>
      <c r="N31">
        <v>0.6180555555555556</v>
      </c>
      <c r="P31" t="str">
        <v>○</v>
      </c>
    </row>
    <row r="32">
      <c r="A32">
        <v>29</v>
      </c>
      <c r="B32" t="str">
        <v>火</v>
      </c>
      <c r="C32">
        <v>5</v>
      </c>
      <c r="D32">
        <v>0.6006944444444444</v>
      </c>
      <c r="E32">
        <v>5</v>
      </c>
      <c r="F32">
        <v>0.6006944444444444</v>
      </c>
      <c r="G32">
        <v>5</v>
      </c>
      <c r="H32">
        <v>0.6006944444444444</v>
      </c>
      <c r="I32">
        <v>6</v>
      </c>
      <c r="J32">
        <v>0.6354166666666666</v>
      </c>
      <c r="K32">
        <v>6</v>
      </c>
      <c r="L32">
        <v>0.6354166666666666</v>
      </c>
      <c r="M32">
        <v>6</v>
      </c>
      <c r="N32">
        <v>0.6354166666666666</v>
      </c>
      <c r="P32" t="str">
        <v>○</v>
      </c>
      <c r="Q32" t="str">
        <v>食に関する授業③4-1④4-2(学)</v>
      </c>
    </row>
    <row r="33" xml:space="preserve">
      <c r="A33">
        <v>30</v>
      </c>
      <c r="B33" t="str">
        <v>水</v>
      </c>
      <c r="C33">
        <v>5</v>
      </c>
      <c r="D33">
        <v>0.6180555555555556</v>
      </c>
      <c r="E33">
        <v>5</v>
      </c>
      <c r="F33">
        <v>0.6180555555555556</v>
      </c>
      <c r="G33">
        <v>5</v>
      </c>
      <c r="H33">
        <v>0.6180555555555556</v>
      </c>
      <c r="I33">
        <v>5</v>
      </c>
      <c r="J33">
        <v>0.6180555555555556</v>
      </c>
      <c r="K33">
        <v>5</v>
      </c>
      <c r="L33">
        <v>0.6180555555555556</v>
      </c>
      <c r="M33">
        <v>5</v>
      </c>
      <c r="N33">
        <v>0.6180555555555556</v>
      </c>
      <c r="P33" t="str">
        <v>○</v>
      </c>
      <c r="Q33" t="str" xml:space="preserve">
        <v xml:space="preserve">前期通知表配付、ブックトーク6年②_x000d_
※月末統計</v>
      </c>
    </row>
    <row r="34" xml:space="preserve">
      <c r="A34" t="str">
        <v>留意点</v>
      </c>
      <c r="B34" t="str" xml:space="preserve">
        <v xml:space="preserve">○食に関する授業　9/2(水)②③(5年)、9/24(木)②③(6年)、9/29(火)③4-1④4-2に変更になっております。_x000d_
○9/10(木)に県北教育事務所長訪問になります。_x000d_
○9/15(火)の６年⑥は、分科対応でお願いします(修学旅行調整のため)。_x000d_
○9/16(水）③～⑥5年夢の教室のため、他学年は体育館使えません。④と⑥は視聴覚室、講師控室に和室を使います。1年読み聞かせは教室で行います。_x000d_
○9/17(木)が【月水金日程】に、9/18(金)が【火木日程】になります(修学旅行調整のため)。_x000d_
○9/28(月)６年が５校時になります。_x000d_
○１年生　9/1(火)が4校時になり下校予定時刻が13:40に、9/10(木)が5校時になり下校予定時刻が14:00に変更になります。_x000d_
○9/18(金)①②に6年「花育活動」を視聴覚室で行う予定です。</v>
      </c>
    </row>
    <row r="35">
      <c r="B35">
        <f>F2</f>
        <v>9</v>
      </c>
      <c r="C35" t="str">
        <v>月</v>
      </c>
      <c r="D35" t="str">
        <v>実施時数予定</v>
      </c>
    </row>
    <row r="36">
      <c r="C36" t="str">
        <v>１年</v>
      </c>
      <c r="E36" t="str">
        <v>２年</v>
      </c>
      <c r="G36" t="str">
        <v>３年</v>
      </c>
      <c r="I36" t="str">
        <v>４年</v>
      </c>
      <c r="K36" t="str">
        <v>５年</v>
      </c>
      <c r="M36" t="str">
        <v>６年</v>
      </c>
      <c r="O36" t="str">
        <v>Ｍ時数</v>
      </c>
      <c r="P36" t="str">
        <v>食数</v>
      </c>
    </row>
    <row r="37">
      <c r="A37" t="str">
        <v>実施できる時数</v>
      </c>
      <c r="C37">
        <f>SUM(C4:C33)+O37</f>
        <v>87</v>
      </c>
      <c r="E37">
        <f>SUM(E4:E33)+O37</f>
        <v>93</v>
      </c>
      <c r="G37">
        <f>SUM(G4:G33)+O37</f>
        <v>98</v>
      </c>
      <c r="I37">
        <f>SUM(I4:I33)+O37</f>
        <v>101</v>
      </c>
      <c r="K37">
        <f>SUM(K4:K33)+O37</f>
        <v>101</v>
      </c>
      <c r="M37">
        <f>SUM(M4:M33)+O37</f>
        <v>101</v>
      </c>
      <c r="P37">
        <f>COUNTIF(P3:P33,"○")</f>
        <v>16</v>
      </c>
    </row>
    <row r="38">
      <c r="A38" t="str">
        <v>計画された時数</v>
      </c>
      <c r="C38">
        <v>87</v>
      </c>
      <c r="E38">
        <v>93</v>
      </c>
      <c r="G38">
        <v>98</v>
      </c>
      <c r="I38">
        <v>101</v>
      </c>
      <c r="K38">
        <v>101</v>
      </c>
      <c r="M38">
        <v>102</v>
      </c>
    </row>
    <row r="39">
      <c r="A39" t="str">
        <v>9月余剰時数</v>
      </c>
      <c r="C39">
        <f>C37-C38</f>
        <v>0</v>
      </c>
      <c r="E39">
        <f>E37-E38</f>
        <v>0</v>
      </c>
      <c r="G39">
        <f>G37-G38</f>
        <v>0</v>
      </c>
      <c r="I39">
        <f>I37-I38</f>
        <v>0</v>
      </c>
      <c r="K39">
        <f>K37-K38</f>
        <v>0</v>
      </c>
      <c r="M39">
        <f>M37-M38</f>
        <v>-1</v>
      </c>
    </row>
    <row r="40">
      <c r="Q40">
        <v>3</v>
      </c>
    </row>
  </sheetData>
  <mergeCells count="40">
    <mergeCell ref="M39:N39"/>
    <mergeCell ref="A39:B39"/>
    <mergeCell ref="C39:D39"/>
    <mergeCell ref="E39:F39"/>
    <mergeCell ref="G39:H39"/>
    <mergeCell ref="I39:J39"/>
    <mergeCell ref="K39:L39"/>
    <mergeCell ref="M37:N37"/>
    <mergeCell ref="A38:B38"/>
    <mergeCell ref="C38:D38"/>
    <mergeCell ref="E38:F38"/>
    <mergeCell ref="G38:H38"/>
    <mergeCell ref="I38:J38"/>
    <mergeCell ref="K38:L38"/>
    <mergeCell ref="M38:N38"/>
    <mergeCell ref="A37:B37"/>
    <mergeCell ref="C37:D37"/>
    <mergeCell ref="E37:F37"/>
    <mergeCell ref="G37:H37"/>
    <mergeCell ref="I37:J37"/>
    <mergeCell ref="K37:L37"/>
    <mergeCell ref="B34:Q34"/>
    <mergeCell ref="D35:G35"/>
    <mergeCell ref="A36:B36"/>
    <mergeCell ref="C36:D36"/>
    <mergeCell ref="E36:F36"/>
    <mergeCell ref="G36:H36"/>
    <mergeCell ref="I36:J36"/>
    <mergeCell ref="K36:L36"/>
    <mergeCell ref="M36:N36"/>
    <mergeCell ref="A1:D1"/>
    <mergeCell ref="O1:Q1"/>
    <mergeCell ref="A2:D2"/>
    <mergeCell ref="H2:O2"/>
    <mergeCell ref="C3:D3"/>
    <mergeCell ref="E3:F3"/>
    <mergeCell ref="G3:H3"/>
    <mergeCell ref="I3:J3"/>
    <mergeCell ref="K3:L3"/>
    <mergeCell ref="M3:N3"/>
  </mergeCells>
  <pageMargins left="0.4724409448818898" right="0.4724409448818898" top="0.3937007874015748" bottom="0.4330708661417323" header="0.31496062992125984" footer="0.31496062992125984"/>
  <ignoredErrors>
    <ignoredError numberStoredAsText="1" sqref="A1:Q41"/>
  </ignoredErrors>
</worksheet>
</file>

<file path=xl/worksheets/sheet16.xml><?xml version="1.0" encoding="utf-8"?>
<worksheet xmlns="http://schemas.openxmlformats.org/spreadsheetml/2006/main" xmlns:r="http://schemas.openxmlformats.org/officeDocument/2006/relationships">
  <dimension ref="A1:Q41"/>
  <sheetViews>
    <sheetView workbookViewId="0" rightToLeft="0"/>
  </sheetViews>
  <sheetData>
    <row r="2">
      <c r="A2" t="str">
        <v>令和8年度</v>
      </c>
      <c r="F2">
        <v>9</v>
      </c>
      <c r="G2" t="str">
        <v>月</v>
      </c>
      <c r="H2" t="str">
        <v>授業時数･下校予定時刻一覧表(7/30版)</v>
      </c>
      <c r="Q2" t="str">
        <v>本宮市立本宮まゆみ小学校</v>
      </c>
    </row>
    <row r="3">
      <c r="A3" t="str">
        <v>日</v>
      </c>
      <c r="B3" t="str">
        <v>曜</v>
      </c>
      <c r="C3" t="str">
        <v>１学年</v>
      </c>
      <c r="E3" t="str">
        <v>２学年</v>
      </c>
      <c r="G3" t="str">
        <v>３学年</v>
      </c>
      <c r="I3" t="str">
        <v>４学年</v>
      </c>
      <c r="K3" t="str">
        <v>５学年</v>
      </c>
      <c r="M3" t="str">
        <v>６学年</v>
      </c>
      <c r="O3" t="str">
        <v>特別日程</v>
      </c>
      <c r="P3" t="str">
        <v>給食</v>
      </c>
      <c r="Q3" t="str">
        <v>行　　事　　等</v>
      </c>
    </row>
    <row r="4" xml:space="preserve">
      <c r="A4">
        <v>1</v>
      </c>
      <c r="B4" t="str">
        <v>火</v>
      </c>
      <c r="C4">
        <v>4</v>
      </c>
      <c r="D4">
        <v>0.5694444444444444</v>
      </c>
      <c r="E4">
        <v>5</v>
      </c>
      <c r="F4">
        <v>0.6006944444444444</v>
      </c>
      <c r="G4">
        <v>5</v>
      </c>
      <c r="H4">
        <v>0.6006944444444444</v>
      </c>
      <c r="I4">
        <v>6</v>
      </c>
      <c r="J4">
        <v>0.6354166666666666</v>
      </c>
      <c r="K4">
        <v>6</v>
      </c>
      <c r="L4">
        <v>0.6354166666666666</v>
      </c>
      <c r="M4">
        <v>6</v>
      </c>
      <c r="N4">
        <v>0.6354166666666666</v>
      </c>
      <c r="P4" t="str">
        <v>弁</v>
      </c>
      <c r="Q4" t="str" xml:space="preserve">
        <v xml:space="preserve">弁当日、生徒指導・現職教育委員会_x000d_
県下小中学校音楽祭（喜多方プ）</v>
      </c>
    </row>
    <row r="5">
      <c r="A5">
        <v>2</v>
      </c>
      <c r="B5" t="str">
        <v>水</v>
      </c>
      <c r="C5">
        <v>4</v>
      </c>
      <c r="D5">
        <v>0.5416666666666666</v>
      </c>
      <c r="E5">
        <v>5</v>
      </c>
      <c r="F5">
        <v>0.5833333333333334</v>
      </c>
      <c r="G5">
        <v>5</v>
      </c>
      <c r="H5">
        <v>0.5833333333333334</v>
      </c>
      <c r="I5">
        <v>5</v>
      </c>
      <c r="J5">
        <v>0.5833333333333334</v>
      </c>
      <c r="K5">
        <v>5</v>
      </c>
      <c r="L5">
        <v>0.5833333333333334</v>
      </c>
      <c r="M5">
        <v>5</v>
      </c>
      <c r="N5">
        <v>0.5833333333333334</v>
      </c>
      <c r="O5" t="str">
        <v>短縮</v>
      </c>
      <c r="P5" t="str">
        <v>○</v>
      </c>
      <c r="Q5" t="str">
        <v>【短】個別懇談3、食に関する授業②③(5年：学)</v>
      </c>
    </row>
    <row r="6">
      <c r="A6">
        <v>3</v>
      </c>
      <c r="B6" t="str">
        <v>木</v>
      </c>
      <c r="C6">
        <v>4</v>
      </c>
      <c r="D6">
        <v>0.5416666666666666</v>
      </c>
      <c r="E6">
        <v>5</v>
      </c>
      <c r="F6">
        <v>0.5833333333333334</v>
      </c>
      <c r="G6">
        <v>5</v>
      </c>
      <c r="H6">
        <v>0.5833333333333334</v>
      </c>
      <c r="I6">
        <v>5</v>
      </c>
      <c r="J6">
        <v>0.5833333333333334</v>
      </c>
      <c r="K6">
        <v>5</v>
      </c>
      <c r="L6">
        <v>0.5833333333333334</v>
      </c>
      <c r="M6">
        <v>5</v>
      </c>
      <c r="N6">
        <v>0.5833333333333334</v>
      </c>
      <c r="O6" t="str">
        <v>短縮</v>
      </c>
      <c r="P6" t="str">
        <v>○</v>
      </c>
      <c r="Q6" t="str">
        <v>【短】個別懇談4</v>
      </c>
    </row>
    <row r="7" xml:space="preserve">
      <c r="A7">
        <v>4</v>
      </c>
      <c r="B7" t="str">
        <v>金</v>
      </c>
      <c r="C7">
        <v>4</v>
      </c>
      <c r="D7">
        <v>0.5416666666666666</v>
      </c>
      <c r="E7">
        <v>5</v>
      </c>
      <c r="F7">
        <v>0.5833333333333334</v>
      </c>
      <c r="G7">
        <v>5</v>
      </c>
      <c r="H7">
        <v>0.5833333333333334</v>
      </c>
      <c r="I7">
        <v>5</v>
      </c>
      <c r="J7">
        <v>0.5833333333333334</v>
      </c>
      <c r="K7">
        <v>5</v>
      </c>
      <c r="L7">
        <v>0.5833333333333334</v>
      </c>
      <c r="M7">
        <v>5</v>
      </c>
      <c r="N7">
        <v>0.5833333333333334</v>
      </c>
      <c r="O7" t="str">
        <v>短縮</v>
      </c>
      <c r="P7" t="str">
        <v>○</v>
      </c>
      <c r="Q7" t="str" xml:space="preserve">
        <v xml:space="preserve">【短】個別懇談5_x000d_
※８月月案反省提出</v>
      </c>
    </row>
    <row r="8">
      <c r="A8">
        <v>5</v>
      </c>
      <c r="B8" t="str">
        <v>土</v>
      </c>
    </row>
    <row r="9">
      <c r="A9">
        <v>6</v>
      </c>
      <c r="B9" t="str">
        <v>日</v>
      </c>
    </row>
    <row r="10">
      <c r="A10">
        <v>7</v>
      </c>
      <c r="B10" t="str">
        <v>月</v>
      </c>
      <c r="C10">
        <v>4</v>
      </c>
      <c r="D10">
        <v>0.5416666666666666</v>
      </c>
      <c r="E10">
        <v>4</v>
      </c>
      <c r="F10">
        <v>0.5416666666666666</v>
      </c>
      <c r="G10">
        <v>5</v>
      </c>
      <c r="H10">
        <v>0.5833333333333334</v>
      </c>
      <c r="I10">
        <v>5</v>
      </c>
      <c r="J10">
        <v>0.5833333333333334</v>
      </c>
      <c r="K10">
        <v>5</v>
      </c>
      <c r="L10">
        <v>0.5833333333333334</v>
      </c>
      <c r="M10">
        <v>5</v>
      </c>
      <c r="N10">
        <v>0.5833333333333334</v>
      </c>
      <c r="O10" t="str">
        <v>短縮</v>
      </c>
      <c r="P10" t="str">
        <v>○</v>
      </c>
      <c r="Q10" t="str">
        <v>【短】個別懇談予備日、ドリーム文庫配本</v>
      </c>
    </row>
    <row r="11">
      <c r="A11">
        <v>8</v>
      </c>
      <c r="B11" t="str">
        <v>火</v>
      </c>
      <c r="C11">
        <v>5</v>
      </c>
      <c r="D11">
        <v>0.5833333333333334</v>
      </c>
      <c r="E11">
        <v>5</v>
      </c>
      <c r="F11">
        <v>0.5833333333333334</v>
      </c>
      <c r="G11">
        <v>5</v>
      </c>
      <c r="H11">
        <v>0.5833333333333334</v>
      </c>
      <c r="I11">
        <v>5</v>
      </c>
      <c r="J11">
        <v>0.5833333333333334</v>
      </c>
      <c r="K11">
        <v>5</v>
      </c>
      <c r="L11">
        <v>0.5833333333333334</v>
      </c>
      <c r="M11">
        <v>5</v>
      </c>
      <c r="N11">
        <v>0.5833333333333334</v>
      </c>
      <c r="O11" t="str">
        <v>短縮</v>
      </c>
      <c r="P11" t="str">
        <v>○</v>
      </c>
      <c r="Q11" t="str">
        <v>【短】前期事務整理1</v>
      </c>
    </row>
    <row r="12">
      <c r="A12">
        <v>9</v>
      </c>
      <c r="B12" t="str">
        <v>水</v>
      </c>
      <c r="C12">
        <v>5</v>
      </c>
      <c r="D12">
        <v>0.5833333333333334</v>
      </c>
      <c r="E12">
        <v>5</v>
      </c>
      <c r="F12">
        <v>0.5833333333333334</v>
      </c>
      <c r="G12">
        <v>5</v>
      </c>
      <c r="H12">
        <v>0.5833333333333334</v>
      </c>
      <c r="I12">
        <v>5</v>
      </c>
      <c r="J12">
        <v>0.5833333333333334</v>
      </c>
      <c r="K12">
        <v>5</v>
      </c>
      <c r="L12">
        <v>0.5833333333333334</v>
      </c>
      <c r="M12">
        <v>5</v>
      </c>
      <c r="N12">
        <v>0.5833333333333334</v>
      </c>
      <c r="O12" t="str">
        <v>短縮</v>
      </c>
      <c r="P12" t="str">
        <v>○</v>
      </c>
      <c r="Q12" t="str">
        <v>【短】前期事務整理2</v>
      </c>
    </row>
    <row r="13">
      <c r="A13">
        <v>10</v>
      </c>
      <c r="B13" t="str">
        <v>木</v>
      </c>
      <c r="C13">
        <v>5</v>
      </c>
      <c r="D13">
        <v>0.5833333333333334</v>
      </c>
      <c r="E13">
        <v>5</v>
      </c>
      <c r="F13">
        <v>0.5833333333333334</v>
      </c>
      <c r="G13">
        <v>5</v>
      </c>
      <c r="H13">
        <v>0.5833333333333334</v>
      </c>
      <c r="I13">
        <v>5</v>
      </c>
      <c r="J13">
        <v>0.5833333333333334</v>
      </c>
      <c r="K13">
        <v>5</v>
      </c>
      <c r="L13">
        <v>0.5833333333333334</v>
      </c>
      <c r="M13">
        <v>5</v>
      </c>
      <c r="N13">
        <v>0.5833333333333334</v>
      </c>
      <c r="O13" t="str">
        <v>短縮</v>
      </c>
      <c r="P13" t="str">
        <v>○</v>
      </c>
      <c r="Q13" t="str">
        <v>【短】前期事務整理3、県北教育事務所長訪問、※口座振替日1</v>
      </c>
    </row>
    <row r="14">
      <c r="A14">
        <v>11</v>
      </c>
      <c r="B14" t="str">
        <v>金</v>
      </c>
      <c r="C14">
        <v>5</v>
      </c>
      <c r="D14">
        <v>0.6180555555555556</v>
      </c>
      <c r="E14">
        <v>5</v>
      </c>
      <c r="F14">
        <v>0.6180555555555556</v>
      </c>
      <c r="G14">
        <v>5</v>
      </c>
      <c r="H14">
        <v>0.6180555555555556</v>
      </c>
      <c r="I14">
        <v>5</v>
      </c>
      <c r="J14">
        <v>0.6180555555555556</v>
      </c>
      <c r="K14">
        <v>5</v>
      </c>
      <c r="L14">
        <v>0.6180555555555556</v>
      </c>
      <c r="M14">
        <v>5</v>
      </c>
      <c r="N14">
        <v>0.6180555555555556</v>
      </c>
      <c r="P14" t="str">
        <v>○</v>
      </c>
      <c r="Q14" t="str">
        <v>食に関する授業②③(3年:学)、校内就学指導委員会3、読み聞かせボラ1-1(業間、和室)、富良野6年4名発表(昼の放送)</v>
      </c>
    </row>
    <row r="15">
      <c r="A15">
        <v>12</v>
      </c>
      <c r="B15" t="str">
        <v>土</v>
      </c>
    </row>
    <row r="16">
      <c r="A16">
        <v>13</v>
      </c>
      <c r="B16" t="str">
        <v>日</v>
      </c>
    </row>
    <row r="17">
      <c r="A17">
        <v>14</v>
      </c>
      <c r="B17" t="str">
        <v>月</v>
      </c>
      <c r="C17">
        <v>5</v>
      </c>
      <c r="D17">
        <v>0.5833333333333334</v>
      </c>
      <c r="E17">
        <v>5</v>
      </c>
      <c r="F17">
        <v>0.5833333333333334</v>
      </c>
      <c r="G17">
        <v>5</v>
      </c>
      <c r="H17">
        <v>0.5833333333333334</v>
      </c>
      <c r="I17">
        <v>5</v>
      </c>
      <c r="J17">
        <v>0.5833333333333334</v>
      </c>
      <c r="K17">
        <v>5</v>
      </c>
      <c r="L17">
        <v>0.5833333333333334</v>
      </c>
      <c r="M17">
        <v>5</v>
      </c>
      <c r="N17">
        <v>0.5833333333333334</v>
      </c>
      <c r="O17" t="str">
        <v>短縮</v>
      </c>
      <c r="P17" t="str">
        <v>○</v>
      </c>
      <c r="Q17" t="str">
        <v>【短】職員会議</v>
      </c>
    </row>
    <row r="18">
      <c r="A18">
        <v>15</v>
      </c>
      <c r="B18" t="str">
        <v>火</v>
      </c>
      <c r="C18">
        <v>5</v>
      </c>
      <c r="D18">
        <v>0.6006944444444444</v>
      </c>
      <c r="E18">
        <v>5</v>
      </c>
      <c r="F18">
        <v>0.6006944444444444</v>
      </c>
      <c r="G18">
        <v>5</v>
      </c>
      <c r="H18">
        <v>0.6006944444444444</v>
      </c>
      <c r="I18">
        <v>6</v>
      </c>
      <c r="J18">
        <v>0.6354166666666666</v>
      </c>
      <c r="K18">
        <v>6</v>
      </c>
      <c r="L18">
        <v>0.6354166666666666</v>
      </c>
      <c r="M18">
        <v>6</v>
      </c>
      <c r="N18">
        <v>0.6354166666666666</v>
      </c>
      <c r="P18" t="str">
        <v>○</v>
      </c>
    </row>
    <row r="19" xml:space="preserve">
      <c r="A19">
        <v>16</v>
      </c>
      <c r="B19" t="str">
        <v>水</v>
      </c>
      <c r="C19">
        <v>5</v>
      </c>
      <c r="D19">
        <v>0.6180555555555556</v>
      </c>
      <c r="E19">
        <v>5</v>
      </c>
      <c r="F19">
        <v>0.6180555555555556</v>
      </c>
      <c r="G19">
        <v>6</v>
      </c>
      <c r="H19">
        <v>0.6527777777777778</v>
      </c>
      <c r="I19">
        <v>6</v>
      </c>
      <c r="J19">
        <v>0.6527777777777778</v>
      </c>
      <c r="K19">
        <v>6</v>
      </c>
      <c r="L19">
        <v>0.6527777777777778</v>
      </c>
      <c r="M19">
        <v>6</v>
      </c>
      <c r="N19" t="str">
        <v>-</v>
      </c>
      <c r="P19" t="str">
        <v>弁</v>
      </c>
      <c r="Q19" t="str" xml:space="preserve">
        <v xml:space="preserve">修学旅行1日目(6年：行2、教4)、弁当日、_x000d_
夢の教室5年③～⑥、読み聞かせ1年13:00(教室)</v>
      </c>
    </row>
    <row r="20" xml:space="preserve">
      <c r="A20">
        <v>17</v>
      </c>
      <c r="B20" t="str">
        <v>木</v>
      </c>
      <c r="C20">
        <v>4</v>
      </c>
      <c r="D20">
        <v>0.5868055555555556</v>
      </c>
      <c r="E20">
        <v>5</v>
      </c>
      <c r="F20">
        <v>0.6180555555555556</v>
      </c>
      <c r="G20">
        <v>6</v>
      </c>
      <c r="H20">
        <v>0.6527777777777778</v>
      </c>
      <c r="I20">
        <v>6</v>
      </c>
      <c r="J20">
        <v>0.6527777777777778</v>
      </c>
      <c r="K20">
        <v>6</v>
      </c>
      <c r="L20">
        <v>0.6527777777777778</v>
      </c>
      <c r="M20">
        <v>6</v>
      </c>
      <c r="N20">
        <v>0.6875</v>
      </c>
      <c r="P20" t="str">
        <v>弁</v>
      </c>
      <c r="Q20" t="str" xml:space="preserve">
        <v xml:space="preserve">修学旅行2日目(6年：行2、教4)、弁当日_x000d_
【月水金日程】</v>
      </c>
    </row>
    <row r="21">
      <c r="A21">
        <v>18</v>
      </c>
      <c r="B21" t="str">
        <v>金</v>
      </c>
      <c r="C21">
        <v>5</v>
      </c>
      <c r="D21">
        <v>0.6006944444444444</v>
      </c>
      <c r="E21">
        <v>5</v>
      </c>
      <c r="F21">
        <v>0.6006944444444444</v>
      </c>
      <c r="G21">
        <v>5</v>
      </c>
      <c r="H21">
        <v>0.6006944444444444</v>
      </c>
      <c r="I21">
        <v>5</v>
      </c>
      <c r="J21">
        <v>0.6006944444444444</v>
      </c>
      <c r="K21">
        <v>5</v>
      </c>
      <c r="L21">
        <v>0.6006944444444444</v>
      </c>
      <c r="M21">
        <v>5</v>
      </c>
      <c r="N21">
        <v>0.6006944444444444</v>
      </c>
      <c r="P21" t="str">
        <v>○</v>
      </c>
      <c r="Q21" t="str">
        <v>【火木日程】、モトム号、アニマシオンまゆさく②(図書室)、読み聞かせボラ1-2(業間、和室)、6年花育活動①②ランチルーム(予定)</v>
      </c>
    </row>
    <row r="22">
      <c r="A22">
        <v>19</v>
      </c>
      <c r="B22" t="str">
        <v>土</v>
      </c>
    </row>
    <row r="23">
      <c r="A23">
        <v>20</v>
      </c>
      <c r="B23" t="str">
        <v>日</v>
      </c>
    </row>
    <row r="24">
      <c r="A24">
        <v>21</v>
      </c>
      <c r="B24" t="str">
        <v>月</v>
      </c>
      <c r="Q24" t="str">
        <v>敬老の日</v>
      </c>
    </row>
    <row r="25">
      <c r="A25">
        <v>22</v>
      </c>
      <c r="B25" t="str">
        <v>火</v>
      </c>
      <c r="Q25" t="str">
        <v>国民の祝日</v>
      </c>
    </row>
    <row r="26">
      <c r="A26">
        <v>23</v>
      </c>
      <c r="B26" t="str">
        <v>水</v>
      </c>
      <c r="Q26" t="str">
        <v>秋分の日</v>
      </c>
    </row>
    <row r="27" xml:space="preserve">
      <c r="A27">
        <v>24</v>
      </c>
      <c r="B27" t="str">
        <v>木</v>
      </c>
      <c r="C27">
        <v>4</v>
      </c>
      <c r="D27">
        <v>0.5694444444444444</v>
      </c>
      <c r="E27">
        <v>5</v>
      </c>
      <c r="F27">
        <v>0.6006944444444444</v>
      </c>
      <c r="G27">
        <v>6</v>
      </c>
      <c r="H27">
        <v>0.6354166666666666</v>
      </c>
      <c r="I27">
        <v>6</v>
      </c>
      <c r="J27">
        <v>0.6354166666666666</v>
      </c>
      <c r="K27">
        <v>6</v>
      </c>
      <c r="L27">
        <v>0.6354166666666666</v>
      </c>
      <c r="M27">
        <v>6</v>
      </c>
      <c r="N27">
        <v>0.6354166666666666</v>
      </c>
      <c r="P27" t="str">
        <v>○</v>
      </c>
      <c r="Q27" t="str" xml:space="preserve">
        <v xml:space="preserve">食に関する授業②③(6年：学)_x000d_
※10月時間割提出</v>
      </c>
    </row>
    <row r="28" xml:space="preserve">
      <c r="A28">
        <v>25</v>
      </c>
      <c r="B28" t="str">
        <v>金</v>
      </c>
      <c r="C28">
        <v>5</v>
      </c>
      <c r="D28">
        <v>0.6180555555555556</v>
      </c>
      <c r="E28">
        <v>5</v>
      </c>
      <c r="F28">
        <v>0.6180555555555556</v>
      </c>
      <c r="G28">
        <v>5</v>
      </c>
      <c r="H28">
        <v>0.6180555555555556</v>
      </c>
      <c r="I28">
        <v>5</v>
      </c>
      <c r="J28">
        <v>0.6180555555555556</v>
      </c>
      <c r="K28">
        <v>5</v>
      </c>
      <c r="L28">
        <v>0.6180555555555556</v>
      </c>
      <c r="M28">
        <v>5</v>
      </c>
      <c r="N28">
        <v>0.6180555555555556</v>
      </c>
      <c r="P28" t="str">
        <v>○</v>
      </c>
      <c r="Q28" t="str" xml:space="preserve">
        <v xml:space="preserve">学校運営協議会3_x000d_
※口座振替日2、卒業生・職員個人写真撮影予備日(12:45～)</v>
      </c>
    </row>
    <row r="29">
      <c r="A29">
        <v>26</v>
      </c>
      <c r="B29" t="str">
        <v>土</v>
      </c>
    </row>
    <row r="30">
      <c r="A30">
        <v>27</v>
      </c>
      <c r="B30" t="str">
        <v>日</v>
      </c>
    </row>
    <row r="31">
      <c r="A31">
        <v>28</v>
      </c>
      <c r="B31" t="str">
        <v>月</v>
      </c>
      <c r="C31">
        <v>4</v>
      </c>
      <c r="D31">
        <v>0.5868055555555556</v>
      </c>
      <c r="E31">
        <v>4</v>
      </c>
      <c r="F31">
        <v>0.5868055555555556</v>
      </c>
      <c r="G31">
        <v>5</v>
      </c>
      <c r="H31">
        <v>0.6180555555555556</v>
      </c>
      <c r="I31">
        <v>5</v>
      </c>
      <c r="J31">
        <v>0.6180555555555556</v>
      </c>
      <c r="K31">
        <v>5</v>
      </c>
      <c r="L31">
        <v>0.6180555555555556</v>
      </c>
      <c r="M31">
        <v>5</v>
      </c>
      <c r="N31">
        <v>0.6180555555555556</v>
      </c>
      <c r="P31" t="str">
        <v>○</v>
      </c>
    </row>
    <row r="32">
      <c r="A32">
        <v>29</v>
      </c>
      <c r="B32" t="str">
        <v>火</v>
      </c>
      <c r="C32">
        <v>5</v>
      </c>
      <c r="D32">
        <v>0.6006944444444444</v>
      </c>
      <c r="E32">
        <v>5</v>
      </c>
      <c r="F32">
        <v>0.6006944444444444</v>
      </c>
      <c r="G32">
        <v>5</v>
      </c>
      <c r="H32">
        <v>0.6006944444444444</v>
      </c>
      <c r="I32">
        <v>6</v>
      </c>
      <c r="J32">
        <v>0.6354166666666666</v>
      </c>
      <c r="K32">
        <v>6</v>
      </c>
      <c r="L32">
        <v>0.6354166666666666</v>
      </c>
      <c r="M32">
        <v>6</v>
      </c>
      <c r="N32">
        <v>0.6354166666666666</v>
      </c>
      <c r="P32" t="str">
        <v>○</v>
      </c>
      <c r="Q32" t="str">
        <v>食に関する授業③4-1④4-2(学)</v>
      </c>
    </row>
    <row r="33" xml:space="preserve">
      <c r="A33">
        <v>30</v>
      </c>
      <c r="B33" t="str">
        <v>水</v>
      </c>
      <c r="C33">
        <v>5</v>
      </c>
      <c r="D33">
        <v>0.6180555555555556</v>
      </c>
      <c r="E33">
        <v>5</v>
      </c>
      <c r="F33">
        <v>0.6180555555555556</v>
      </c>
      <c r="G33">
        <v>5</v>
      </c>
      <c r="H33">
        <v>0.6180555555555556</v>
      </c>
      <c r="I33">
        <v>5</v>
      </c>
      <c r="J33">
        <v>0.6180555555555556</v>
      </c>
      <c r="K33">
        <v>5</v>
      </c>
      <c r="L33">
        <v>0.6180555555555556</v>
      </c>
      <c r="M33">
        <v>5</v>
      </c>
      <c r="N33">
        <v>0.6180555555555556</v>
      </c>
      <c r="P33" t="str">
        <v>○</v>
      </c>
      <c r="Q33" t="str" xml:space="preserve">
        <v xml:space="preserve">前期通知表配付、ブックトーク6年②_x000d_
※月末統計</v>
      </c>
    </row>
    <row r="34" xml:space="preserve">
      <c r="A34" t="str">
        <v>留意点</v>
      </c>
      <c r="B34" t="str" xml:space="preserve">
        <v xml:space="preserve">○食に関する授業　9/2(水)②③(5年)、9/24(木)②③(6年)、9/29(火)③4-1④4-2に変更になっております。_x000d_
○9/10(木)に県北教育事務所長訪問になります。_x000d_
○9/15(火)の６年⑥は、分科対応でお願いします(修学旅行調整のため)。_x000d_
○9/16(水）③～⑥5年夢の教室のため、他学年は体育館使えません。④と⑥は視聴覚室、講師控室に和室を使います。1年読み聞かせは教室で行います。_x000d_
○9/17(木)が【月水金日程】に、9/18(金)が【火木日程】になります(修学旅行調整のため)。_x000d_
○9/28(月)６年が５校時になります。_x000d_
○１年生　9/1(火)が4校時になり下校予定時刻が13:40に、9/10(木)が5校時になり下校予定時刻が14:00に変更になります。_x000d_
○9/18(金)①②に6年「花育活動」をランチルームで行う予定です。</v>
      </c>
    </row>
    <row r="35">
      <c r="B35">
        <f>F2</f>
        <v>9</v>
      </c>
      <c r="C35" t="str">
        <v>月</v>
      </c>
      <c r="D35" t="str">
        <v>実施時数予定</v>
      </c>
    </row>
    <row r="36">
      <c r="C36" t="str">
        <v>１年</v>
      </c>
      <c r="E36" t="str">
        <v>２年</v>
      </c>
      <c r="G36" t="str">
        <v>３年</v>
      </c>
      <c r="I36" t="str">
        <v>４年</v>
      </c>
      <c r="K36" t="str">
        <v>５年</v>
      </c>
      <c r="M36" t="str">
        <v>６年</v>
      </c>
      <c r="O36" t="str">
        <v>Ｍ時数</v>
      </c>
      <c r="P36" t="str">
        <v>食数</v>
      </c>
    </row>
    <row r="37">
      <c r="A37" t="str">
        <v>実施できる時数</v>
      </c>
      <c r="C37">
        <f>SUM(C4:C33)+O37</f>
        <v>87</v>
      </c>
      <c r="E37">
        <f>SUM(E4:E33)+O37</f>
        <v>93</v>
      </c>
      <c r="G37">
        <f>SUM(G4:G33)+O37</f>
        <v>98</v>
      </c>
      <c r="I37">
        <f>SUM(I4:I33)+O37</f>
        <v>101</v>
      </c>
      <c r="K37">
        <f>SUM(K4:K33)+O37</f>
        <v>101</v>
      </c>
      <c r="M37">
        <f>SUM(M4:M33)+O37</f>
        <v>101</v>
      </c>
      <c r="P37">
        <f>COUNTIF(P3:P33,"○")</f>
        <v>16</v>
      </c>
    </row>
    <row r="38">
      <c r="A38" t="str">
        <v>計画された時数</v>
      </c>
      <c r="C38">
        <v>87</v>
      </c>
      <c r="E38">
        <v>93</v>
      </c>
      <c r="G38">
        <v>98</v>
      </c>
      <c r="I38">
        <v>101</v>
      </c>
      <c r="K38">
        <v>101</v>
      </c>
      <c r="M38">
        <v>102</v>
      </c>
    </row>
    <row r="39">
      <c r="A39" t="str">
        <v>9月余剰時数</v>
      </c>
      <c r="C39">
        <f>C37-C38</f>
        <v>0</v>
      </c>
      <c r="E39">
        <f>E37-E38</f>
        <v>0</v>
      </c>
      <c r="G39">
        <f>G37-G38</f>
        <v>0</v>
      </c>
      <c r="I39">
        <f>I37-I38</f>
        <v>0</v>
      </c>
      <c r="K39">
        <f>K37-K38</f>
        <v>0</v>
      </c>
      <c r="M39">
        <f>M37-M38</f>
        <v>-1</v>
      </c>
    </row>
    <row r="40">
      <c r="Q40">
        <v>3</v>
      </c>
    </row>
  </sheetData>
  <mergeCells count="40">
    <mergeCell ref="M39:N39"/>
    <mergeCell ref="A39:B39"/>
    <mergeCell ref="C39:D39"/>
    <mergeCell ref="E39:F39"/>
    <mergeCell ref="G39:H39"/>
    <mergeCell ref="I39:J39"/>
    <mergeCell ref="K39:L39"/>
    <mergeCell ref="M37:N37"/>
    <mergeCell ref="A38:B38"/>
    <mergeCell ref="C38:D38"/>
    <mergeCell ref="E38:F38"/>
    <mergeCell ref="G38:H38"/>
    <mergeCell ref="I38:J38"/>
    <mergeCell ref="K38:L38"/>
    <mergeCell ref="M38:N38"/>
    <mergeCell ref="A37:B37"/>
    <mergeCell ref="C37:D37"/>
    <mergeCell ref="E37:F37"/>
    <mergeCell ref="G37:H37"/>
    <mergeCell ref="I37:J37"/>
    <mergeCell ref="K37:L37"/>
    <mergeCell ref="B34:Q34"/>
    <mergeCell ref="D35:G35"/>
    <mergeCell ref="A36:B36"/>
    <mergeCell ref="C36:D36"/>
    <mergeCell ref="E36:F36"/>
    <mergeCell ref="G36:H36"/>
    <mergeCell ref="I36:J36"/>
    <mergeCell ref="K36:L36"/>
    <mergeCell ref="M36:N36"/>
    <mergeCell ref="A1:D1"/>
    <mergeCell ref="O1:Q1"/>
    <mergeCell ref="A2:D2"/>
    <mergeCell ref="H2:O2"/>
    <mergeCell ref="C3:D3"/>
    <mergeCell ref="E3:F3"/>
    <mergeCell ref="G3:H3"/>
    <mergeCell ref="I3:J3"/>
    <mergeCell ref="K3:L3"/>
    <mergeCell ref="M3:N3"/>
  </mergeCells>
  <pageMargins left="0.4724409448818898" right="0.4724409448818898" top="0.3937007874015748" bottom="0.4330708661417323" header="0.31496062992125984" footer="0.31496062992125984"/>
  <ignoredErrors>
    <ignoredError numberStoredAsText="1" sqref="A1:Q41"/>
  </ignoredErrors>
</worksheet>
</file>

<file path=xl/worksheets/sheet17.xml><?xml version="1.0" encoding="utf-8"?>
<worksheet xmlns="http://schemas.openxmlformats.org/spreadsheetml/2006/main" xmlns:r="http://schemas.openxmlformats.org/officeDocument/2006/relationships">
  <dimension ref="A1:S45"/>
  <sheetViews>
    <sheetView workbookViewId="0" rightToLeft="0"/>
  </sheetViews>
  <sheetData>
    <row r="1">
      <c r="A1" t="str">
        <v>令和8年度</v>
      </c>
      <c r="F1">
        <v>10</v>
      </c>
      <c r="G1" t="str">
        <v>月</v>
      </c>
      <c r="H1" t="str">
        <v>授業時数･下校予定時刻一覧表</v>
      </c>
      <c r="Q1" t="str">
        <v>本宮市立本宮まゆみ小学校</v>
      </c>
    </row>
    <row r="2">
      <c r="A2" t="str">
        <v>日</v>
      </c>
      <c r="B2" t="str">
        <v>曜</v>
      </c>
      <c r="C2" t="str">
        <v>１学年</v>
      </c>
      <c r="E2" t="str">
        <v>２学年</v>
      </c>
      <c r="G2" t="str">
        <v>３学年</v>
      </c>
      <c r="I2" t="str">
        <v>４学年</v>
      </c>
      <c r="K2" t="str">
        <v>５学年</v>
      </c>
      <c r="M2" t="str">
        <v>６学年</v>
      </c>
      <c r="O2" t="str">
        <v>特別日程</v>
      </c>
      <c r="P2" t="str">
        <v>給食</v>
      </c>
      <c r="Q2" t="str">
        <v>行　　事　　等</v>
      </c>
    </row>
    <row r="3">
      <c r="A3">
        <v>1</v>
      </c>
      <c r="B3" t="str">
        <v>木</v>
      </c>
      <c r="C3">
        <v>4</v>
      </c>
      <c r="D3">
        <v>0.5694444444444444</v>
      </c>
      <c r="E3">
        <v>5</v>
      </c>
      <c r="F3">
        <v>0.6006944444444444</v>
      </c>
      <c r="G3">
        <v>6</v>
      </c>
      <c r="H3">
        <v>0.6354166666666666</v>
      </c>
      <c r="I3">
        <v>6</v>
      </c>
      <c r="J3">
        <v>0.6354166666666666</v>
      </c>
      <c r="K3">
        <v>6</v>
      </c>
      <c r="L3">
        <v>0.6354166666666666</v>
      </c>
      <c r="M3">
        <v>6</v>
      </c>
      <c r="N3">
        <v>0.6354166666666666</v>
      </c>
      <c r="P3" t="str">
        <v>○</v>
      </c>
      <c r="Q3" t="str">
        <v>安全点検</v>
      </c>
    </row>
    <row r="4" xml:space="preserve">
      <c r="A4">
        <v>2</v>
      </c>
      <c r="B4" t="str">
        <v>金</v>
      </c>
      <c r="C4">
        <v>5</v>
      </c>
      <c r="D4">
        <v>0.6180555555555556</v>
      </c>
      <c r="E4">
        <v>5</v>
      </c>
      <c r="F4">
        <v>0.6180555555555556</v>
      </c>
      <c r="G4">
        <v>5</v>
      </c>
      <c r="H4">
        <v>0.6180555555555556</v>
      </c>
      <c r="I4">
        <v>5</v>
      </c>
      <c r="J4">
        <v>0.6180555555555556</v>
      </c>
      <c r="K4">
        <v>5</v>
      </c>
      <c r="L4">
        <v>0.6180555555555556</v>
      </c>
      <c r="M4">
        <v>5</v>
      </c>
      <c r="N4">
        <v>0.6180555555555556</v>
      </c>
      <c r="P4" t="str">
        <v>○</v>
      </c>
      <c r="Q4" t="str" xml:space="preserve">
        <v xml:space="preserve">防災教育参観③4年_x000d_
◇PTA役員選考委員会、PTA本部役員会4</v>
      </c>
    </row>
    <row r="5">
      <c r="A5">
        <v>3</v>
      </c>
      <c r="B5" t="str">
        <v>土</v>
      </c>
    </row>
    <row r="6">
      <c r="A6">
        <v>4</v>
      </c>
      <c r="B6" t="str">
        <v>日</v>
      </c>
    </row>
    <row r="7">
      <c r="A7">
        <v>5</v>
      </c>
      <c r="B7" t="str">
        <v>月</v>
      </c>
      <c r="C7">
        <v>4</v>
      </c>
      <c r="D7">
        <v>0.5868055555555556</v>
      </c>
      <c r="E7">
        <v>4</v>
      </c>
      <c r="F7">
        <v>0.5868055555555556</v>
      </c>
      <c r="G7">
        <v>5</v>
      </c>
      <c r="H7">
        <v>0.6180555555555556</v>
      </c>
      <c r="I7">
        <v>5</v>
      </c>
      <c r="J7">
        <v>0.6527777777777778</v>
      </c>
      <c r="K7">
        <v>5</v>
      </c>
      <c r="L7">
        <v>0.6527777777777778</v>
      </c>
      <c r="M7">
        <v>5</v>
      </c>
      <c r="N7">
        <v>0.6527777777777778</v>
      </c>
      <c r="P7" t="str">
        <v>○</v>
      </c>
      <c r="Q7" t="str">
        <v>児童会なかよし集会③（全：児１）、児童会活動日、生徒指導・現職教育委員会※9月月案反省提出、児童会活動写真撮影予備日(14:45～)</v>
      </c>
    </row>
    <row r="8">
      <c r="A8">
        <v>6</v>
      </c>
      <c r="B8" t="str">
        <v>火</v>
      </c>
      <c r="C8">
        <v>5</v>
      </c>
      <c r="D8">
        <v>0.5833333333333334</v>
      </c>
      <c r="E8">
        <v>5</v>
      </c>
      <c r="F8">
        <v>0.5833333333333334</v>
      </c>
      <c r="G8">
        <v>5</v>
      </c>
      <c r="H8">
        <v>0.5833333333333334</v>
      </c>
      <c r="I8">
        <v>5</v>
      </c>
      <c r="J8">
        <v>0.5833333333333334</v>
      </c>
      <c r="K8">
        <v>5</v>
      </c>
      <c r="L8">
        <v>0.5833333333333334</v>
      </c>
      <c r="M8">
        <v>5</v>
      </c>
      <c r="N8">
        <v>0.5833333333333334</v>
      </c>
      <c r="O8" t="str">
        <v>短縮</v>
      </c>
      <c r="P8" t="str">
        <v>○</v>
      </c>
      <c r="Q8" t="str">
        <v>【短】駅伝試走</v>
      </c>
    </row>
    <row r="9">
      <c r="A9">
        <v>7</v>
      </c>
      <c r="B9" t="str">
        <v>水</v>
      </c>
      <c r="C9">
        <v>5</v>
      </c>
      <c r="D9">
        <v>0.6006944444444444</v>
      </c>
      <c r="E9">
        <v>5</v>
      </c>
      <c r="F9">
        <v>0.6006944444444444</v>
      </c>
      <c r="G9">
        <v>6</v>
      </c>
      <c r="H9">
        <v>0.6527777777777778</v>
      </c>
      <c r="I9">
        <v>6</v>
      </c>
      <c r="J9">
        <v>0.6527777777777778</v>
      </c>
      <c r="K9">
        <v>6</v>
      </c>
      <c r="L9">
        <v>0.6527777777777778</v>
      </c>
      <c r="M9">
        <v>6</v>
      </c>
      <c r="N9">
        <v>0.6527777777777778</v>
      </c>
      <c r="P9" t="str">
        <v>弁</v>
      </c>
      <c r="Q9" t="str">
        <v>1年見学学習(スペースパーク)、2年見学学習(ムシテック)、弁当日、発表内容報告用紙・舞台配置図提出</v>
      </c>
    </row>
    <row r="10">
      <c r="A10">
        <v>8</v>
      </c>
      <c r="B10" t="str">
        <v>木</v>
      </c>
      <c r="C10">
        <v>4</v>
      </c>
      <c r="D10">
        <v>0.5</v>
      </c>
      <c r="E10">
        <v>4</v>
      </c>
      <c r="F10">
        <v>0.5</v>
      </c>
      <c r="G10">
        <v>4</v>
      </c>
      <c r="H10">
        <v>0.5</v>
      </c>
      <c r="I10">
        <v>4</v>
      </c>
      <c r="J10">
        <v>0.5</v>
      </c>
      <c r="K10">
        <v>4</v>
      </c>
      <c r="L10">
        <v>0.5</v>
      </c>
      <c r="M10">
        <v>4</v>
      </c>
      <c r="N10">
        <v>0.5</v>
      </c>
      <c r="O10" t="str">
        <v>短縮</v>
      </c>
      <c r="P10" t="str">
        <v>×</v>
      </c>
      <c r="Q10" t="str">
        <v>【短】就学時健康診断</v>
      </c>
    </row>
    <row r="11">
      <c r="A11">
        <v>9</v>
      </c>
      <c r="B11" t="str">
        <v>金</v>
      </c>
      <c r="C11">
        <v>5</v>
      </c>
      <c r="D11">
        <v>0.5833333333333334</v>
      </c>
      <c r="E11">
        <v>5</v>
      </c>
      <c r="F11">
        <v>0.5833333333333334</v>
      </c>
      <c r="G11">
        <v>5</v>
      </c>
      <c r="H11">
        <v>0.5833333333333334</v>
      </c>
      <c r="I11">
        <v>5</v>
      </c>
      <c r="J11">
        <v>0.5833333333333334</v>
      </c>
      <c r="K11">
        <v>5</v>
      </c>
      <c r="L11">
        <v>0.5833333333333334</v>
      </c>
      <c r="M11">
        <v>5</v>
      </c>
      <c r="N11">
        <v>0.5833333333333334</v>
      </c>
      <c r="O11" t="str">
        <v>短縮</v>
      </c>
      <c r="P11" t="str">
        <v>○</v>
      </c>
      <c r="Q11" t="str">
        <v>【短】第2回避難訓練③（全：行1）、駅伝試走予備日、</v>
      </c>
    </row>
    <row r="12">
      <c r="A12">
        <v>10</v>
      </c>
      <c r="B12" t="str">
        <v>土</v>
      </c>
    </row>
    <row r="13">
      <c r="A13">
        <v>11</v>
      </c>
      <c r="B13" t="str">
        <v>日</v>
      </c>
    </row>
    <row r="14">
      <c r="A14">
        <v>12</v>
      </c>
      <c r="B14" t="str">
        <v>月</v>
      </c>
      <c r="Q14" t="str">
        <v>スポーツの日</v>
      </c>
    </row>
    <row r="15">
      <c r="A15">
        <v>13</v>
      </c>
      <c r="B15" t="str">
        <v>火</v>
      </c>
      <c r="C15">
        <v>5</v>
      </c>
      <c r="D15">
        <v>0.6006944444444444</v>
      </c>
      <c r="E15">
        <v>5</v>
      </c>
      <c r="F15">
        <v>0.6006944444444444</v>
      </c>
      <c r="G15">
        <v>5</v>
      </c>
      <c r="H15">
        <v>0.6006944444444444</v>
      </c>
      <c r="I15">
        <v>6</v>
      </c>
      <c r="J15">
        <v>0.6354166666666666</v>
      </c>
      <c r="K15">
        <v>6</v>
      </c>
      <c r="L15">
        <v>0.6354166666666666</v>
      </c>
      <c r="M15">
        <v>6</v>
      </c>
      <c r="N15">
        <v>0.6354166666666666</v>
      </c>
      <c r="P15" t="str">
        <v>○</v>
      </c>
      <c r="Q15" t="str">
        <v>クラブ活動(上：ク1)、クラブ活動写真撮影予備日(14：25～)、※口座振替日1</v>
      </c>
    </row>
    <row r="16">
      <c r="A16">
        <v>14</v>
      </c>
      <c r="B16" t="str">
        <v>水</v>
      </c>
      <c r="C16">
        <v>4</v>
      </c>
      <c r="D16">
        <v>0.6180555555555556</v>
      </c>
      <c r="E16">
        <v>4</v>
      </c>
      <c r="F16">
        <v>0.6180555555555556</v>
      </c>
      <c r="G16">
        <v>6</v>
      </c>
      <c r="H16">
        <v>0.6527777777777778</v>
      </c>
      <c r="I16">
        <v>6</v>
      </c>
      <c r="J16">
        <v>0.6527777777777778</v>
      </c>
      <c r="K16">
        <v>6</v>
      </c>
      <c r="L16">
        <v>0.6527777777777778</v>
      </c>
      <c r="M16">
        <v>6</v>
      </c>
      <c r="N16">
        <v>0.6527777777777778</v>
      </c>
      <c r="P16" t="str">
        <v>○</v>
      </c>
      <c r="Q16" t="str">
        <v>QUテスト(低：欠1、3～6年：業間)</v>
      </c>
    </row>
    <row r="17">
      <c r="A17">
        <v>15</v>
      </c>
      <c r="B17" t="str">
        <v>木</v>
      </c>
      <c r="C17">
        <v>4</v>
      </c>
      <c r="D17">
        <v>0.5694444444444444</v>
      </c>
      <c r="E17">
        <v>5</v>
      </c>
      <c r="F17">
        <v>0.6006944444444444</v>
      </c>
      <c r="G17">
        <v>5</v>
      </c>
      <c r="H17">
        <v>0.6006944444444444</v>
      </c>
      <c r="I17">
        <v>6</v>
      </c>
      <c r="J17" t="str">
        <v>-</v>
      </c>
      <c r="K17">
        <v>6</v>
      </c>
      <c r="L17">
        <v>0.6354166666666666</v>
      </c>
      <c r="M17">
        <v>6</v>
      </c>
      <c r="N17">
        <v>0.6354166666666666</v>
      </c>
      <c r="P17" t="str">
        <v>○</v>
      </c>
      <c r="Q17" t="str">
        <v>防災キャンプ1日目(4年：総2)</v>
      </c>
    </row>
    <row r="18">
      <c r="A18">
        <v>16</v>
      </c>
      <c r="B18" t="str">
        <v>金</v>
      </c>
      <c r="C18">
        <v>5</v>
      </c>
      <c r="D18">
        <v>0.6180555555555556</v>
      </c>
      <c r="E18">
        <v>5</v>
      </c>
      <c r="F18">
        <v>0.6180555555555556</v>
      </c>
      <c r="G18">
        <v>5</v>
      </c>
      <c r="H18">
        <v>0.6180555555555556</v>
      </c>
      <c r="I18">
        <v>5</v>
      </c>
      <c r="J18">
        <v>0.6180555555555556</v>
      </c>
      <c r="K18">
        <v>5</v>
      </c>
      <c r="L18">
        <v>0.6180555555555556</v>
      </c>
      <c r="M18">
        <v>5</v>
      </c>
      <c r="N18">
        <v>0.6180555555555556</v>
      </c>
      <c r="P18" t="str">
        <v>○</v>
      </c>
      <c r="Q18" t="str">
        <v>防災キャンプ2日目(4年：総4)</v>
      </c>
    </row>
    <row r="19">
      <c r="A19">
        <v>17</v>
      </c>
      <c r="B19" t="str">
        <v>土</v>
      </c>
    </row>
    <row r="20">
      <c r="A20">
        <v>18</v>
      </c>
      <c r="B20" t="str">
        <v>日</v>
      </c>
      <c r="Q20" t="str">
        <v>もとみや駅伝競走大会</v>
      </c>
    </row>
    <row r="21">
      <c r="A21">
        <v>19</v>
      </c>
      <c r="B21" t="str">
        <v>月</v>
      </c>
      <c r="C21">
        <v>4</v>
      </c>
      <c r="D21">
        <v>0.5868055555555556</v>
      </c>
      <c r="E21">
        <v>5</v>
      </c>
      <c r="F21">
        <v>0.6180555555555556</v>
      </c>
      <c r="G21">
        <v>5</v>
      </c>
      <c r="H21">
        <v>0.6180555555555556</v>
      </c>
      <c r="I21">
        <v>5</v>
      </c>
      <c r="J21">
        <v>0.6180555555555556</v>
      </c>
      <c r="K21">
        <v>5</v>
      </c>
      <c r="L21">
        <v>0.6180555555555556</v>
      </c>
      <c r="M21">
        <v>5</v>
      </c>
      <c r="N21">
        <v>0.6180555555555556</v>
      </c>
      <c r="P21" t="str">
        <v>○</v>
      </c>
      <c r="Q21" t="str">
        <v>第2回交通教室③(全：行1)、ステージ下パイプ椅子取り出し(15:30～:全職員)、長机・山台設置(15:30～:全職員)、体育館放送システム設置(15:30～:情報担当)、※体育館貸与停止(～11/7)</v>
      </c>
    </row>
    <row r="22">
      <c r="A22">
        <v>20</v>
      </c>
      <c r="B22" t="str">
        <v>火</v>
      </c>
      <c r="C22">
        <v>5</v>
      </c>
      <c r="D22">
        <v>0.6006944444444444</v>
      </c>
      <c r="E22">
        <v>5</v>
      </c>
      <c r="F22">
        <v>0.6006944444444444</v>
      </c>
      <c r="G22">
        <v>5</v>
      </c>
      <c r="H22">
        <v>0.6006944444444444</v>
      </c>
      <c r="I22">
        <v>6</v>
      </c>
      <c r="J22">
        <v>0.6354166666666666</v>
      </c>
      <c r="K22">
        <v>6</v>
      </c>
      <c r="L22">
        <v>0.6354166666666666</v>
      </c>
      <c r="M22">
        <v>6</v>
      </c>
      <c r="N22">
        <v>0.6354166666666666</v>
      </c>
      <c r="P22" t="str">
        <v>○</v>
      </c>
      <c r="Q22" t="str">
        <v>クラブ活動(上：ク1)</v>
      </c>
    </row>
    <row r="23">
      <c r="A23">
        <v>21</v>
      </c>
      <c r="B23" t="str">
        <v>水</v>
      </c>
      <c r="C23">
        <v>5</v>
      </c>
      <c r="D23">
        <v>0.6180555555555556</v>
      </c>
      <c r="E23">
        <v>5</v>
      </c>
      <c r="F23">
        <v>0.6180555555555556</v>
      </c>
      <c r="G23">
        <v>6</v>
      </c>
      <c r="H23">
        <v>0.6527777777777778</v>
      </c>
      <c r="I23">
        <v>6</v>
      </c>
      <c r="J23">
        <v>0.6527777777777778</v>
      </c>
      <c r="K23">
        <v>6</v>
      </c>
      <c r="L23">
        <v>0.6527777777777778</v>
      </c>
      <c r="M23">
        <v>6</v>
      </c>
      <c r="N23">
        <v>0.6527777777777778</v>
      </c>
      <c r="P23" t="str">
        <v>○</v>
      </c>
      <c r="Q23" t="str">
        <v>まゆみっ子ランニングチャレンジ②1・6年、③2・5年、④3・4年</v>
      </c>
    </row>
    <row r="24">
      <c r="A24">
        <v>22</v>
      </c>
      <c r="B24" t="str">
        <v>木</v>
      </c>
      <c r="C24">
        <v>4</v>
      </c>
      <c r="D24">
        <v>0.5694444444444444</v>
      </c>
      <c r="E24">
        <v>5</v>
      </c>
      <c r="F24">
        <v>0.6006944444444444</v>
      </c>
      <c r="G24">
        <v>5</v>
      </c>
      <c r="H24">
        <v>0.6006944444444444</v>
      </c>
      <c r="I24">
        <v>6</v>
      </c>
      <c r="J24">
        <v>0.6354166666666666</v>
      </c>
      <c r="K24">
        <v>6</v>
      </c>
      <c r="L24">
        <v>0.6354166666666666</v>
      </c>
      <c r="M24">
        <v>6</v>
      </c>
      <c r="N24">
        <v>0.6354166666666666</v>
      </c>
      <c r="P24" t="str">
        <v>○</v>
      </c>
      <c r="Q24" t="str">
        <v>小教研理科授業⑤(4-2)、モトム号</v>
      </c>
    </row>
    <row r="25">
      <c r="A25">
        <v>23</v>
      </c>
      <c r="B25" t="str">
        <v>金</v>
      </c>
      <c r="C25">
        <v>3</v>
      </c>
      <c r="D25">
        <v>0.4618055555555556</v>
      </c>
      <c r="E25">
        <v>3</v>
      </c>
      <c r="F25">
        <v>0.4618055555555556</v>
      </c>
      <c r="G25">
        <v>3</v>
      </c>
      <c r="H25">
        <v>0.4618055555555556</v>
      </c>
      <c r="I25">
        <v>3</v>
      </c>
      <c r="J25">
        <v>0.4618055555555556</v>
      </c>
      <c r="K25">
        <v>3</v>
      </c>
      <c r="L25">
        <v>0.4618055555555556</v>
      </c>
      <c r="M25">
        <v>3</v>
      </c>
      <c r="N25">
        <v>0.4618055555555556</v>
      </c>
      <c r="O25" t="str">
        <v>短縮</v>
      </c>
      <c r="P25" t="str">
        <v>×</v>
      </c>
      <c r="Q25" t="str">
        <v>【短】安達太良神社秋季例大祭、職員会議、校内支援委員会2、ブルーシート敷き・パイプ椅子並べ(11:30～:全職員)※11月時間割提出</v>
      </c>
    </row>
    <row r="26">
      <c r="A26">
        <v>24</v>
      </c>
      <c r="B26" t="str">
        <v>土</v>
      </c>
    </row>
    <row r="27">
      <c r="A27">
        <v>25</v>
      </c>
      <c r="B27" t="str">
        <v>日</v>
      </c>
    </row>
    <row r="28">
      <c r="A28">
        <v>26</v>
      </c>
      <c r="B28" t="str">
        <v>月</v>
      </c>
      <c r="C28">
        <v>4</v>
      </c>
      <c r="D28">
        <v>0.5868055555555556</v>
      </c>
      <c r="E28">
        <v>4</v>
      </c>
      <c r="F28">
        <v>0.5868055555555556</v>
      </c>
      <c r="G28">
        <v>5</v>
      </c>
      <c r="H28">
        <v>0.6180555555555556</v>
      </c>
      <c r="I28">
        <v>5</v>
      </c>
      <c r="J28">
        <v>0.6180555555555556</v>
      </c>
      <c r="K28">
        <v>5</v>
      </c>
      <c r="L28">
        <v>0.6180555555555556</v>
      </c>
      <c r="M28">
        <v>5</v>
      </c>
      <c r="N28">
        <v>0.6180555555555556</v>
      </c>
      <c r="P28" t="str">
        <v>○</v>
      </c>
      <c r="Q28" t="str">
        <v>※口座振替日2</v>
      </c>
    </row>
    <row r="29">
      <c r="A29">
        <v>27</v>
      </c>
      <c r="B29" t="str">
        <v>火</v>
      </c>
      <c r="C29">
        <v>5</v>
      </c>
      <c r="D29">
        <v>0.6006944444444444</v>
      </c>
      <c r="E29">
        <v>5</v>
      </c>
      <c r="F29">
        <v>0.6006944444444444</v>
      </c>
      <c r="G29">
        <v>6</v>
      </c>
      <c r="H29">
        <v>0.6354166666666666</v>
      </c>
      <c r="I29">
        <v>6</v>
      </c>
      <c r="J29">
        <v>0.6354166666666666</v>
      </c>
      <c r="K29">
        <v>6</v>
      </c>
      <c r="L29">
        <v>0.6354166666666666</v>
      </c>
      <c r="M29">
        <v>6</v>
      </c>
      <c r="N29">
        <v>0.6354166666666666</v>
      </c>
      <c r="P29" t="str">
        <v>○</v>
      </c>
      <c r="Q29" t="str">
        <v>本宮市教育委員会訪問</v>
      </c>
    </row>
    <row r="30">
      <c r="A30">
        <v>28</v>
      </c>
      <c r="B30" t="str">
        <v>水</v>
      </c>
      <c r="C30">
        <v>5</v>
      </c>
      <c r="D30">
        <v>0.6180555555555556</v>
      </c>
      <c r="E30">
        <v>5</v>
      </c>
      <c r="F30">
        <v>0.6180555555555556</v>
      </c>
      <c r="G30">
        <v>5</v>
      </c>
      <c r="H30">
        <v>0.6180555555555556</v>
      </c>
      <c r="I30">
        <v>6</v>
      </c>
      <c r="J30">
        <v>0.6527777777777778</v>
      </c>
      <c r="K30">
        <v>6</v>
      </c>
      <c r="L30">
        <v>0.6527777777777778</v>
      </c>
      <c r="M30">
        <v>6</v>
      </c>
      <c r="N30">
        <v>0.6527777777777778</v>
      </c>
      <c r="P30" t="str">
        <v>○</v>
      </c>
    </row>
    <row r="31">
      <c r="A31">
        <v>29</v>
      </c>
      <c r="B31" t="str">
        <v>木</v>
      </c>
      <c r="C31">
        <v>4</v>
      </c>
      <c r="D31">
        <v>0.5694444444444444</v>
      </c>
      <c r="E31">
        <v>5</v>
      </c>
      <c r="F31">
        <v>0.6006944444444444</v>
      </c>
      <c r="G31">
        <v>5</v>
      </c>
      <c r="H31">
        <v>0.6006944444444444</v>
      </c>
      <c r="I31">
        <v>6</v>
      </c>
      <c r="J31">
        <v>0.6354166666666666</v>
      </c>
      <c r="K31">
        <v>6</v>
      </c>
      <c r="L31">
        <v>0.6354166666666666</v>
      </c>
      <c r="M31">
        <v>6</v>
      </c>
      <c r="N31">
        <v>0.6354166666666666</v>
      </c>
      <c r="P31" t="str">
        <v>○</v>
      </c>
    </row>
    <row r="32">
      <c r="A32">
        <v>30</v>
      </c>
      <c r="B32" t="str">
        <v>金</v>
      </c>
      <c r="C32">
        <v>5</v>
      </c>
      <c r="D32">
        <v>0.6180555555555556</v>
      </c>
      <c r="E32">
        <v>5</v>
      </c>
      <c r="F32">
        <v>0.6180555555555556</v>
      </c>
      <c r="G32">
        <v>5</v>
      </c>
      <c r="H32">
        <v>0.6180555555555556</v>
      </c>
      <c r="I32">
        <v>5</v>
      </c>
      <c r="J32">
        <v>0.6180555555555556</v>
      </c>
      <c r="K32">
        <v>5</v>
      </c>
      <c r="L32">
        <v>0.6180555555555556</v>
      </c>
      <c r="M32">
        <v>5</v>
      </c>
      <c r="N32">
        <v>0.6180555555555556</v>
      </c>
      <c r="P32" t="str">
        <v>○</v>
      </c>
      <c r="Q32" t="str">
        <v>※月末統計</v>
      </c>
    </row>
    <row r="33">
      <c r="A33">
        <v>31</v>
      </c>
      <c r="B33" t="str">
        <v>土</v>
      </c>
    </row>
    <row r="34" xml:space="preserve">
      <c r="A34" t="str">
        <v>今月の留意点</v>
      </c>
      <c r="B34" t="str" xml:space="preserve">
        <v xml:space="preserve">○10/2(金)の３校時は、防災教育参観(4年)になります。_x000d_
　準備等のため、10/1(木)3校時～10/2(金)4校時は、体育館は使用できません。_x000d_
○10/5(月)の３校時に、児童会なかよし集会が変更になります。_x000d_
○10/9(金)は、駅伝試走予備日のため、短縮になります。_x000d_
○10/22(木)の5・6校時は、小教研理科授業・事後研で理科室を使います。_x000d_
○10/27(火)は、本宮市教育委員会訪問があります。</v>
      </c>
    </row>
    <row r="35">
      <c r="C35" t="str">
        <v>月</v>
      </c>
      <c r="D35" t="str">
        <v>実施時数予定</v>
      </c>
    </row>
    <row r="36">
      <c r="C36" t="str">
        <v>１年</v>
      </c>
      <c r="E36" t="str">
        <v>２年</v>
      </c>
      <c r="G36" t="str">
        <v>３年</v>
      </c>
      <c r="I36" t="str">
        <v>４年</v>
      </c>
      <c r="K36" t="str">
        <v>５年</v>
      </c>
      <c r="M36" t="str">
        <v>６年</v>
      </c>
      <c r="O36" t="str">
        <v>Ｍ時数</v>
      </c>
      <c r="P36" t="str">
        <v>食数</v>
      </c>
    </row>
    <row r="37">
      <c r="A37" t="str">
        <v>実施できる時数</v>
      </c>
      <c r="C37">
        <f>SUM(C3:C33)+O37</f>
        <v>94</v>
      </c>
      <c r="E37">
        <f>SUM(E3:E33)+Q37</f>
        <v>99</v>
      </c>
      <c r="G37">
        <f>SUM(G3:G33)+S37</f>
        <v>107</v>
      </c>
      <c r="I37">
        <f>SUM(I3:I33)+U37</f>
        <v>113</v>
      </c>
      <c r="K37">
        <f>SUM(K3:K33)+W37</f>
        <v>113</v>
      </c>
      <c r="M37">
        <f>SUM(M3:M33)+Y37</f>
        <v>113</v>
      </c>
      <c r="P37">
        <v>18</v>
      </c>
    </row>
    <row r="38">
      <c r="A38" t="str">
        <v>計画された時数</v>
      </c>
      <c r="C38">
        <v>94</v>
      </c>
      <c r="E38">
        <v>99</v>
      </c>
      <c r="G38">
        <v>107</v>
      </c>
      <c r="I38">
        <v>113</v>
      </c>
      <c r="K38">
        <v>113</v>
      </c>
      <c r="M38">
        <v>113</v>
      </c>
    </row>
    <row r="39">
      <c r="A39" t="str">
        <v>10月余剰時数</v>
      </c>
      <c r="C39">
        <f>(C37-C38)</f>
        <v>0</v>
      </c>
      <c r="E39">
        <f>(E37-E38)</f>
        <v>0</v>
      </c>
      <c r="G39">
        <f>(G37-G38)</f>
        <v>0</v>
      </c>
      <c r="I39">
        <f>(I37-I38)</f>
        <v>0</v>
      </c>
      <c r="K39">
        <f>(K37-K38)</f>
        <v>0</v>
      </c>
      <c r="M39">
        <f>(M37-M38)</f>
        <v>0</v>
      </c>
    </row>
    <row r="40">
      <c r="Q40">
        <v>3</v>
      </c>
    </row>
  </sheetData>
  <mergeCells count="36">
    <mergeCell ref="A1:D1"/>
    <mergeCell ref="H1:O1"/>
    <mergeCell ref="M2:N2"/>
    <mergeCell ref="C2:D2"/>
    <mergeCell ref="E2:F2"/>
    <mergeCell ref="G2:H2"/>
    <mergeCell ref="I2:J2"/>
    <mergeCell ref="K2:L2"/>
    <mergeCell ref="B34:Q34"/>
    <mergeCell ref="A37:B37"/>
    <mergeCell ref="C37:D37"/>
    <mergeCell ref="E37:F37"/>
    <mergeCell ref="G37:H37"/>
    <mergeCell ref="I37:J37"/>
    <mergeCell ref="C36:D36"/>
    <mergeCell ref="K36:L36"/>
    <mergeCell ref="M36:N36"/>
    <mergeCell ref="K37:L37"/>
    <mergeCell ref="M37:N37"/>
    <mergeCell ref="E36:F36"/>
    <mergeCell ref="G36:H36"/>
    <mergeCell ref="I36:J36"/>
    <mergeCell ref="K39:L39"/>
    <mergeCell ref="M39:N39"/>
    <mergeCell ref="A38:B38"/>
    <mergeCell ref="C38:D38"/>
    <mergeCell ref="E38:F38"/>
    <mergeCell ref="G38:H38"/>
    <mergeCell ref="I38:J38"/>
    <mergeCell ref="K38:L38"/>
    <mergeCell ref="A39:B39"/>
    <mergeCell ref="C39:D39"/>
    <mergeCell ref="E39:F39"/>
    <mergeCell ref="G39:H39"/>
    <mergeCell ref="I39:J39"/>
    <mergeCell ref="M38:N38"/>
  </mergeCells>
  <pageMargins left="0.31496062992125984" right="0.2755905511811024" top="0.1968503937007874" bottom="0.1968503937007874" header="0.31496062992125984" footer="0.31496062992125984"/>
  <ignoredErrors>
    <ignoredError numberStoredAsText="1" sqref="A1:S45"/>
  </ignoredErrors>
</worksheet>
</file>

<file path=xl/worksheets/sheet18.xml><?xml version="1.0" encoding="utf-8"?>
<worksheet xmlns="http://schemas.openxmlformats.org/spreadsheetml/2006/main" xmlns:r="http://schemas.openxmlformats.org/officeDocument/2006/relationships">
  <dimension ref="A1:S45"/>
  <sheetViews>
    <sheetView workbookViewId="0" rightToLeft="0"/>
  </sheetViews>
  <sheetData>
    <row r="1">
      <c r="A1" t="str">
        <v>令和７年度</v>
      </c>
      <c r="F1">
        <v>10</v>
      </c>
      <c r="G1" t="str">
        <v>月</v>
      </c>
      <c r="H1" t="str">
        <v>授業時数･下校予定時刻一覧表（改訂版）</v>
      </c>
      <c r="Q1" t="str">
        <v>本宮市立本宮まゆみ小学校</v>
      </c>
    </row>
    <row r="2">
      <c r="A2" t="str">
        <v>日</v>
      </c>
      <c r="B2" t="str">
        <v>曜</v>
      </c>
      <c r="C2" t="str">
        <v>１学年</v>
      </c>
      <c r="E2" t="str">
        <v>２学年</v>
      </c>
      <c r="G2" t="str">
        <v>３学年</v>
      </c>
      <c r="I2" t="str">
        <v>４学年</v>
      </c>
      <c r="K2" t="str">
        <v>５学年</v>
      </c>
      <c r="M2" t="str">
        <v>６学年</v>
      </c>
      <c r="O2" t="str">
        <v>特別日程</v>
      </c>
      <c r="P2" t="str">
        <v>給食</v>
      </c>
      <c r="Q2" t="str">
        <v>行　　事　　等</v>
      </c>
    </row>
    <row r="3">
      <c r="A3">
        <v>1</v>
      </c>
      <c r="B3" t="str">
        <v>水</v>
      </c>
      <c r="C3">
        <v>4</v>
      </c>
      <c r="D3">
        <v>0.5868055555555556</v>
      </c>
      <c r="E3">
        <v>5</v>
      </c>
      <c r="F3">
        <v>0.6180555555555556</v>
      </c>
      <c r="G3">
        <v>5</v>
      </c>
      <c r="H3">
        <v>0.6180555555555556</v>
      </c>
      <c r="I3">
        <v>5</v>
      </c>
      <c r="J3">
        <v>0.6180555555555556</v>
      </c>
      <c r="K3">
        <v>5</v>
      </c>
      <c r="L3">
        <v>0.6180555555555556</v>
      </c>
      <c r="M3">
        <v>5</v>
      </c>
      <c r="N3">
        <v>0.6180555555555556</v>
      </c>
      <c r="P3" t="str">
        <v>○</v>
      </c>
      <c r="Q3" t="str">
        <v>安全点検</v>
      </c>
    </row>
    <row r="4">
      <c r="A4">
        <v>2</v>
      </c>
      <c r="B4" t="str">
        <v>木</v>
      </c>
      <c r="C4">
        <v>4</v>
      </c>
      <c r="D4">
        <v>0.5486111111111112</v>
      </c>
      <c r="E4">
        <v>5</v>
      </c>
      <c r="F4">
        <v>0.5833333333333334</v>
      </c>
      <c r="G4">
        <v>5</v>
      </c>
      <c r="H4">
        <v>0.5833333333333334</v>
      </c>
      <c r="I4">
        <v>5</v>
      </c>
      <c r="J4">
        <v>0.5833333333333334</v>
      </c>
      <c r="K4">
        <v>5</v>
      </c>
      <c r="L4">
        <v>0.5833333333333334</v>
      </c>
      <c r="M4">
        <v>5</v>
      </c>
      <c r="N4">
        <v>0.5833333333333334</v>
      </c>
      <c r="O4" t="str">
        <v>短縮</v>
      </c>
      <c r="P4" t="str">
        <v>○</v>
      </c>
      <c r="Q4" t="str">
        <v>【短】駅伝試走</v>
      </c>
    </row>
    <row r="5">
      <c r="A5">
        <v>3</v>
      </c>
      <c r="B5" t="str">
        <v>金</v>
      </c>
      <c r="C5">
        <v>5</v>
      </c>
      <c r="D5">
        <v>0.6180555555555556</v>
      </c>
      <c r="E5">
        <v>5</v>
      </c>
      <c r="F5">
        <v>0.6388888888888888</v>
      </c>
      <c r="G5">
        <v>5</v>
      </c>
      <c r="H5">
        <v>0.6180555555555556</v>
      </c>
      <c r="I5">
        <v>5</v>
      </c>
      <c r="J5">
        <v>0.6180555555555556</v>
      </c>
      <c r="K5">
        <v>5</v>
      </c>
      <c r="L5">
        <v>0.6180555555555556</v>
      </c>
      <c r="M5">
        <v>5</v>
      </c>
      <c r="N5">
        <v>0.6180555555555556</v>
      </c>
      <c r="P5" t="str">
        <v>弁</v>
      </c>
      <c r="Q5" t="str">
        <v>2年見学学習（ムシテック）、５年福祉体験②③、弁当日　※9月月案反省提出</v>
      </c>
    </row>
    <row r="6">
      <c r="A6">
        <v>4</v>
      </c>
      <c r="B6" t="str">
        <v>土</v>
      </c>
    </row>
    <row r="7">
      <c r="A7">
        <v>5</v>
      </c>
      <c r="B7" t="str">
        <v>日</v>
      </c>
    </row>
    <row r="8">
      <c r="A8">
        <v>6</v>
      </c>
      <c r="B8" t="str">
        <v>月</v>
      </c>
      <c r="C8">
        <v>4</v>
      </c>
      <c r="D8">
        <v>0.5868055555555556</v>
      </c>
      <c r="E8">
        <v>4</v>
      </c>
      <c r="F8">
        <v>0.5868055555555556</v>
      </c>
      <c r="G8">
        <v>5</v>
      </c>
      <c r="H8">
        <v>0.6180555555555556</v>
      </c>
      <c r="I8">
        <v>5</v>
      </c>
      <c r="J8">
        <v>0.6458333333333334</v>
      </c>
      <c r="K8">
        <v>5</v>
      </c>
      <c r="L8">
        <v>0.6458333333333334</v>
      </c>
      <c r="M8">
        <v>5</v>
      </c>
      <c r="N8">
        <v>0.6458333333333334</v>
      </c>
      <c r="P8" t="str">
        <v>○</v>
      </c>
      <c r="Q8" t="str">
        <v>児童会活動日、生徒指導・現職教育委員会</v>
      </c>
    </row>
    <row r="9">
      <c r="A9">
        <v>7</v>
      </c>
      <c r="B9" t="str">
        <v>火</v>
      </c>
      <c r="C9">
        <v>5</v>
      </c>
      <c r="D9">
        <v>0.6006944444444444</v>
      </c>
      <c r="E9">
        <v>5</v>
      </c>
      <c r="F9">
        <v>0.6006944444444444</v>
      </c>
      <c r="G9">
        <v>5</v>
      </c>
      <c r="H9">
        <v>0.6006944444444444</v>
      </c>
      <c r="I9">
        <v>6</v>
      </c>
      <c r="J9">
        <v>0.6354166666666666</v>
      </c>
      <c r="K9">
        <v>6</v>
      </c>
      <c r="L9">
        <v>0.6354166666666666</v>
      </c>
      <c r="M9">
        <v>6</v>
      </c>
      <c r="N9">
        <v>0.6354166666666666</v>
      </c>
      <c r="P9" t="str">
        <v>○</v>
      </c>
      <c r="Q9" t="str">
        <v>４年出前授業②、児童会なかよし集会③（全：児１）、クラブ活動（上：ク１）</v>
      </c>
    </row>
    <row r="10">
      <c r="A10">
        <v>8</v>
      </c>
      <c r="B10" t="str">
        <v>水</v>
      </c>
      <c r="C10">
        <v>4</v>
      </c>
      <c r="D10">
        <v>0.6180555555555556</v>
      </c>
      <c r="E10">
        <v>4</v>
      </c>
      <c r="F10">
        <v>0.6180555555555556</v>
      </c>
      <c r="G10">
        <v>5</v>
      </c>
      <c r="H10">
        <v>0.6180555555555556</v>
      </c>
      <c r="I10">
        <v>6</v>
      </c>
      <c r="J10">
        <v>0.6527777777777778</v>
      </c>
      <c r="K10">
        <v>6</v>
      </c>
      <c r="L10">
        <v>0.6527777777777778</v>
      </c>
      <c r="M10">
        <v>6</v>
      </c>
      <c r="N10">
        <v>0.6527777777777778</v>
      </c>
      <c r="P10" t="str">
        <v>○</v>
      </c>
      <c r="Q10" t="str">
        <v>ＱＵテスト（低：欠1、3～6年：朝）、CBT調査(5年・6年)</v>
      </c>
    </row>
    <row r="11">
      <c r="A11">
        <v>9</v>
      </c>
      <c r="B11" t="str">
        <v>木</v>
      </c>
      <c r="C11">
        <v>4</v>
      </c>
      <c r="D11">
        <v>0.5</v>
      </c>
      <c r="E11">
        <v>4</v>
      </c>
      <c r="F11">
        <v>0.5</v>
      </c>
      <c r="G11">
        <v>4</v>
      </c>
      <c r="H11">
        <v>0.5</v>
      </c>
      <c r="I11">
        <v>4</v>
      </c>
      <c r="J11">
        <v>0.5</v>
      </c>
      <c r="K11">
        <v>4</v>
      </c>
      <c r="L11">
        <v>0.5</v>
      </c>
      <c r="M11">
        <v>4</v>
      </c>
      <c r="N11">
        <v>0.5</v>
      </c>
      <c r="O11" t="str">
        <v>短縮</v>
      </c>
      <c r="P11" t="str">
        <v>×</v>
      </c>
      <c r="Q11" t="str">
        <v>【短】就学時健康診断</v>
      </c>
    </row>
    <row r="12">
      <c r="A12">
        <v>10</v>
      </c>
      <c r="B12" t="str">
        <v>金</v>
      </c>
      <c r="C12">
        <v>5</v>
      </c>
      <c r="D12">
        <v>0.6180555555555556</v>
      </c>
      <c r="E12">
        <v>5</v>
      </c>
      <c r="F12">
        <v>0.6180555555555556</v>
      </c>
      <c r="G12">
        <v>5</v>
      </c>
      <c r="H12">
        <v>0.6180555555555556</v>
      </c>
      <c r="I12">
        <v>5</v>
      </c>
      <c r="J12">
        <v>0.6180555555555556</v>
      </c>
      <c r="K12">
        <v>5</v>
      </c>
      <c r="L12">
        <v>0.6180555555555556</v>
      </c>
      <c r="M12">
        <v>5</v>
      </c>
      <c r="N12">
        <v>0.6180555555555556</v>
      </c>
      <c r="P12" t="str">
        <v>○</v>
      </c>
      <c r="Q12" t="str">
        <v>第2回避難訓練③（全：行1）、ステージ下パイプ椅子取り出し（業間：6年児童協力）、長机・山台設置（16:00～：全職員）、体育館放送システム設置（16:00～：情報担当）※体育館貸与停止（～11/8)、口座振替日1</v>
      </c>
    </row>
    <row r="13">
      <c r="A13">
        <v>11</v>
      </c>
      <c r="B13" t="str">
        <v>土</v>
      </c>
    </row>
    <row r="14">
      <c r="A14">
        <v>12</v>
      </c>
      <c r="B14" t="str">
        <v>日</v>
      </c>
    </row>
    <row r="15">
      <c r="A15">
        <v>13</v>
      </c>
      <c r="B15" t="str">
        <v>月</v>
      </c>
      <c r="Q15" t="str">
        <v>スポーツの日</v>
      </c>
    </row>
    <row r="16">
      <c r="A16">
        <v>14</v>
      </c>
      <c r="B16" t="str">
        <v>火</v>
      </c>
      <c r="C16">
        <v>5</v>
      </c>
      <c r="D16">
        <v>0.6006944444444444</v>
      </c>
      <c r="E16">
        <v>5</v>
      </c>
      <c r="F16">
        <v>0.6006944444444444</v>
      </c>
      <c r="G16">
        <v>5</v>
      </c>
      <c r="H16">
        <v>0.6006944444444444</v>
      </c>
      <c r="I16">
        <v>6</v>
      </c>
      <c r="J16">
        <v>0.6354166666666666</v>
      </c>
      <c r="K16">
        <v>6</v>
      </c>
      <c r="L16">
        <v>0.6354166666666666</v>
      </c>
      <c r="M16">
        <v>6</v>
      </c>
      <c r="N16">
        <v>0.6354166666666666</v>
      </c>
      <c r="P16" t="str">
        <v>○</v>
      </c>
      <c r="Q16" t="str">
        <v>食に関する授業②③（4年：学１）、５年稲刈り②③</v>
      </c>
    </row>
    <row r="17">
      <c r="A17">
        <v>15</v>
      </c>
      <c r="B17" t="str">
        <v>水</v>
      </c>
      <c r="C17">
        <v>5</v>
      </c>
      <c r="D17">
        <v>0.6180555555555556</v>
      </c>
      <c r="E17">
        <v>5</v>
      </c>
      <c r="F17">
        <v>0.6180555555555556</v>
      </c>
      <c r="G17">
        <v>5</v>
      </c>
      <c r="H17">
        <v>0.6180555555555556</v>
      </c>
      <c r="I17">
        <v>6</v>
      </c>
      <c r="J17">
        <v>0.6527777777777778</v>
      </c>
      <c r="K17">
        <v>6</v>
      </c>
      <c r="L17">
        <v>0.6527777777777778</v>
      </c>
      <c r="M17">
        <v>6</v>
      </c>
      <c r="N17">
        <v>0.6527777777777778</v>
      </c>
      <c r="P17" t="str">
        <v>○</v>
      </c>
      <c r="Q17" t="str">
        <v>まゆみっ子ランニングチャレンジ②1・6年、③2・5年、④3・4年、駅伝壮行会（13:30～体育館）</v>
      </c>
    </row>
    <row r="18">
      <c r="A18">
        <v>16</v>
      </c>
      <c r="B18" t="str">
        <v>木</v>
      </c>
      <c r="C18">
        <v>4</v>
      </c>
      <c r="D18">
        <v>0.5763888888888888</v>
      </c>
      <c r="E18">
        <v>5</v>
      </c>
      <c r="F18">
        <v>0.6006944444444444</v>
      </c>
      <c r="G18">
        <v>5</v>
      </c>
      <c r="H18">
        <v>0.6006944444444444</v>
      </c>
      <c r="I18">
        <v>6</v>
      </c>
      <c r="J18">
        <v>0.6354166666666666</v>
      </c>
      <c r="K18">
        <v>6</v>
      </c>
      <c r="L18">
        <v>0.6354166666666666</v>
      </c>
      <c r="M18">
        <v>6</v>
      </c>
      <c r="N18">
        <v>0.6354166666666666</v>
      </c>
      <c r="P18" t="str">
        <v>○</v>
      </c>
      <c r="Q18" t="str">
        <v>CBT調査(3年・4年)</v>
      </c>
    </row>
    <row r="19">
      <c r="A19">
        <v>17</v>
      </c>
      <c r="B19" t="str">
        <v>金</v>
      </c>
      <c r="C19">
        <v>5</v>
      </c>
      <c r="D19">
        <v>0.6180555555555556</v>
      </c>
      <c r="E19">
        <v>5</v>
      </c>
      <c r="F19">
        <v>0.6180555555555556</v>
      </c>
      <c r="G19">
        <v>5</v>
      </c>
      <c r="H19">
        <v>0.6180555555555556</v>
      </c>
      <c r="I19">
        <v>5</v>
      </c>
      <c r="J19">
        <v>0.6180555555555556</v>
      </c>
      <c r="K19">
        <v>5</v>
      </c>
      <c r="L19">
        <v>0.6180555555555556</v>
      </c>
      <c r="M19">
        <v>5</v>
      </c>
      <c r="N19">
        <v>0.6180555555555556</v>
      </c>
      <c r="P19" t="str">
        <v>○</v>
      </c>
      <c r="Q19" t="str">
        <v>第2回交通教室③（全：行1）</v>
      </c>
    </row>
    <row r="20">
      <c r="A20">
        <v>18</v>
      </c>
      <c r="B20" t="str">
        <v>土</v>
      </c>
    </row>
    <row r="21">
      <c r="A21">
        <v>19</v>
      </c>
      <c r="B21" t="str">
        <v>日</v>
      </c>
      <c r="Q21" t="str">
        <v>もとみや駅伝競走大会</v>
      </c>
    </row>
    <row r="22">
      <c r="A22">
        <v>20</v>
      </c>
      <c r="B22" t="str">
        <v>月</v>
      </c>
      <c r="C22">
        <v>4</v>
      </c>
      <c r="D22">
        <v>0.5868055555555556</v>
      </c>
      <c r="E22">
        <v>4</v>
      </c>
      <c r="F22">
        <v>0.5868055555555556</v>
      </c>
      <c r="G22">
        <v>5</v>
      </c>
      <c r="H22">
        <v>0.6180555555555556</v>
      </c>
      <c r="I22">
        <v>5</v>
      </c>
      <c r="J22">
        <v>0.6180555555555556</v>
      </c>
      <c r="K22">
        <v>5</v>
      </c>
      <c r="L22">
        <v>0.6180555555555556</v>
      </c>
      <c r="M22">
        <v>5</v>
      </c>
      <c r="N22">
        <v>0.6180555555555556</v>
      </c>
      <c r="P22" t="str">
        <v>○</v>
      </c>
    </row>
    <row r="23">
      <c r="A23">
        <v>21</v>
      </c>
      <c r="B23" t="str">
        <v>火</v>
      </c>
      <c r="C23">
        <v>5</v>
      </c>
      <c r="D23">
        <v>0.6006944444444444</v>
      </c>
      <c r="E23">
        <v>5</v>
      </c>
      <c r="F23">
        <v>0.6006944444444444</v>
      </c>
      <c r="G23">
        <v>5</v>
      </c>
      <c r="H23">
        <v>0.6006944444444444</v>
      </c>
      <c r="I23">
        <v>6</v>
      </c>
      <c r="J23">
        <v>0.6354166666666666</v>
      </c>
      <c r="K23">
        <v>6</v>
      </c>
      <c r="L23">
        <v>0.6354166666666666</v>
      </c>
      <c r="M23">
        <v>6</v>
      </c>
      <c r="N23">
        <v>0.6354166666666666</v>
      </c>
      <c r="P23" t="str">
        <v>○</v>
      </c>
      <c r="Q23" t="str">
        <v>クラブ活動（上：ク１）、まゆみっ子発表会体育館配当開始</v>
      </c>
    </row>
    <row r="24">
      <c r="A24">
        <v>22</v>
      </c>
      <c r="B24" t="str">
        <v>水</v>
      </c>
      <c r="C24">
        <v>5</v>
      </c>
      <c r="D24">
        <v>0.6180555555555556</v>
      </c>
      <c r="E24">
        <v>5</v>
      </c>
      <c r="F24">
        <v>0.6180555555555556</v>
      </c>
      <c r="G24">
        <v>6</v>
      </c>
      <c r="H24">
        <v>0.6527777777777778</v>
      </c>
      <c r="I24">
        <v>6</v>
      </c>
      <c r="J24">
        <v>0.6527777777777778</v>
      </c>
      <c r="K24">
        <v>6</v>
      </c>
      <c r="L24">
        <v>0.6527777777777778</v>
      </c>
      <c r="M24">
        <v>6</v>
      </c>
      <c r="N24">
        <v>0.6527777777777778</v>
      </c>
      <c r="P24" t="str">
        <v>○</v>
      </c>
      <c r="Q24" t="str">
        <v>食に関する授業②③（5年：学１）</v>
      </c>
    </row>
    <row r="25">
      <c r="A25">
        <v>23</v>
      </c>
      <c r="B25" t="str">
        <v>木</v>
      </c>
      <c r="C25">
        <v>4</v>
      </c>
      <c r="D25">
        <v>0.5763888888888888</v>
      </c>
      <c r="E25">
        <v>5</v>
      </c>
      <c r="F25">
        <v>0.6006944444444444</v>
      </c>
      <c r="G25">
        <v>5</v>
      </c>
      <c r="H25">
        <v>0.6006944444444444</v>
      </c>
      <c r="I25">
        <v>6</v>
      </c>
      <c r="J25">
        <v>0.6354166666666666</v>
      </c>
      <c r="K25">
        <v>6</v>
      </c>
      <c r="L25">
        <v>0.6354166666666666</v>
      </c>
      <c r="M25">
        <v>6</v>
      </c>
      <c r="N25">
        <v>0.6354166666666666</v>
      </c>
      <c r="P25" t="str">
        <v>○</v>
      </c>
    </row>
    <row r="26">
      <c r="A26">
        <v>24</v>
      </c>
      <c r="B26" t="str">
        <v>金</v>
      </c>
      <c r="C26">
        <v>3</v>
      </c>
      <c r="D26">
        <v>0.4618055555555556</v>
      </c>
      <c r="E26">
        <v>3</v>
      </c>
      <c r="F26">
        <v>0.4618055555555556</v>
      </c>
      <c r="G26">
        <v>3</v>
      </c>
      <c r="H26">
        <v>0.4618055555555556</v>
      </c>
      <c r="I26">
        <v>3</v>
      </c>
      <c r="J26">
        <v>0.4618055555555556</v>
      </c>
      <c r="K26">
        <v>3</v>
      </c>
      <c r="L26">
        <v>0.4618055555555556</v>
      </c>
      <c r="M26">
        <v>3</v>
      </c>
      <c r="N26">
        <v>0.4618055555555556</v>
      </c>
      <c r="O26" t="str">
        <v>短縮</v>
      </c>
      <c r="P26" t="str">
        <v>×</v>
      </c>
      <c r="Q26" t="str">
        <v>【短】安達太良神社秋季例大祭、職員会議、校内支援委員会2、※11月時間割提出</v>
      </c>
    </row>
    <row r="27">
      <c r="A27">
        <v>25</v>
      </c>
      <c r="B27" t="str">
        <v>土</v>
      </c>
    </row>
    <row r="28">
      <c r="A28">
        <v>26</v>
      </c>
      <c r="B28" t="str">
        <v>日</v>
      </c>
    </row>
    <row r="29" xml:space="preserve">
      <c r="A29">
        <v>27</v>
      </c>
      <c r="B29" t="str">
        <v>月</v>
      </c>
      <c r="C29">
        <v>4</v>
      </c>
      <c r="D29">
        <v>0.5868055555555556</v>
      </c>
      <c r="E29">
        <v>4</v>
      </c>
      <c r="F29">
        <v>0.5868055555555556</v>
      </c>
      <c r="G29">
        <v>5</v>
      </c>
      <c r="H29">
        <v>0.6180555555555556</v>
      </c>
      <c r="I29">
        <v>5</v>
      </c>
      <c r="J29">
        <v>0.6180555555555556</v>
      </c>
      <c r="K29">
        <v>5</v>
      </c>
      <c r="L29">
        <v>0.6180555555555556</v>
      </c>
      <c r="M29">
        <v>5</v>
      </c>
      <c r="N29">
        <v>0.6180555555555556</v>
      </c>
      <c r="P29" t="str">
        <v>○</v>
      </c>
      <c r="Q29" t="str" xml:space="preserve">
        <v xml:space="preserve">パイプ椅子並べ（業間：６年児童協力）_x000d_
※口座振替日２</v>
      </c>
    </row>
    <row r="30">
      <c r="A30">
        <v>28</v>
      </c>
      <c r="B30" t="str">
        <v>火</v>
      </c>
      <c r="C30">
        <v>5</v>
      </c>
      <c r="D30">
        <v>0.6006944444444444</v>
      </c>
      <c r="E30">
        <v>5</v>
      </c>
      <c r="F30">
        <v>0.6006944444444444</v>
      </c>
      <c r="G30">
        <v>6</v>
      </c>
      <c r="H30">
        <v>0.6354166666666666</v>
      </c>
      <c r="I30">
        <v>6</v>
      </c>
      <c r="J30">
        <v>0.6354166666666666</v>
      </c>
      <c r="K30">
        <v>6</v>
      </c>
      <c r="L30">
        <v>0.6354166666666666</v>
      </c>
      <c r="M30">
        <v>6</v>
      </c>
      <c r="N30">
        <v>0.6354166666666666</v>
      </c>
      <c r="P30" t="str">
        <v>弁</v>
      </c>
      <c r="Q30" t="str">
        <v>3年見学学習（ムシテック）、４年森林環境学習、１年校外学習（安達ヶ原キッズパーク）</v>
      </c>
    </row>
    <row r="31">
      <c r="A31">
        <v>29</v>
      </c>
      <c r="B31" t="str">
        <v>水</v>
      </c>
      <c r="C31">
        <v>5</v>
      </c>
      <c r="D31">
        <v>0.6180555555555556</v>
      </c>
      <c r="E31">
        <v>5</v>
      </c>
      <c r="F31">
        <v>0.6180555555555556</v>
      </c>
      <c r="G31">
        <v>5</v>
      </c>
      <c r="H31">
        <v>0.6180555555555556</v>
      </c>
      <c r="I31">
        <v>6</v>
      </c>
      <c r="J31">
        <v>0.6527777777777778</v>
      </c>
      <c r="K31">
        <v>6</v>
      </c>
      <c r="L31">
        <v>0.6527777777777778</v>
      </c>
      <c r="M31">
        <v>6</v>
      </c>
      <c r="N31">
        <v>0.6527777777777778</v>
      </c>
      <c r="P31" t="str">
        <v>○</v>
      </c>
    </row>
    <row r="32">
      <c r="A32">
        <v>30</v>
      </c>
      <c r="B32" t="str">
        <v>木</v>
      </c>
      <c r="C32">
        <v>4</v>
      </c>
      <c r="D32">
        <v>0.5763888888888888</v>
      </c>
      <c r="E32">
        <v>5</v>
      </c>
      <c r="F32">
        <v>0.6006944444444444</v>
      </c>
      <c r="G32">
        <v>5</v>
      </c>
      <c r="H32">
        <v>0.6006944444444444</v>
      </c>
      <c r="I32">
        <v>6</v>
      </c>
      <c r="J32">
        <v>0.6354166666666666</v>
      </c>
      <c r="K32">
        <v>6</v>
      </c>
      <c r="L32">
        <v>0.6354166666666666</v>
      </c>
      <c r="M32">
        <v>6</v>
      </c>
      <c r="N32">
        <v>0.6354166666666666</v>
      </c>
      <c r="P32" t="str">
        <v>○</v>
      </c>
    </row>
    <row r="33">
      <c r="A33">
        <v>31</v>
      </c>
      <c r="B33" t="str">
        <v>金</v>
      </c>
      <c r="C33">
        <v>5</v>
      </c>
      <c r="D33">
        <v>0.6180555555555556</v>
      </c>
      <c r="E33">
        <v>5</v>
      </c>
      <c r="F33">
        <v>0.6180555555555556</v>
      </c>
      <c r="G33">
        <v>5</v>
      </c>
      <c r="H33">
        <v>0.6180555555555556</v>
      </c>
      <c r="I33">
        <v>5</v>
      </c>
      <c r="J33">
        <v>0.6180555555555556</v>
      </c>
      <c r="K33">
        <v>5</v>
      </c>
      <c r="L33">
        <v>0.6180555555555556</v>
      </c>
      <c r="M33">
        <v>5</v>
      </c>
      <c r="N33">
        <v>0.6180555555555556</v>
      </c>
      <c r="P33" t="str">
        <v>○</v>
      </c>
      <c r="Q33" t="str">
        <v>※月末統計</v>
      </c>
    </row>
    <row r="34" xml:space="preserve">
      <c r="A34" t="str">
        <v>今月の留意点</v>
      </c>
      <c r="B34" t="str" xml:space="preserve">
        <v xml:space="preserve">○見学学習日は、各学年帰校時刻に合わせて下校時刻の検討をお願いします。変更がある場合は朱書きしてください。_x000d_
〇CBT調査が10/8(水)に5年生と6年生、10/16(木)に3年生と4年生に入ります（総合＋１（余剰分）でお願いします）。_x000d_
〇10/1(水)と10/20(月)が通常時程となり、下校時刻が変更になります。_x000d_
〇10/15(水)13:30～体育館で「駅伝壮行会」を行います。この日は「清掃なし」になります。</v>
      </c>
    </row>
    <row r="35">
      <c r="C35" t="str">
        <v>月</v>
      </c>
      <c r="D35" t="str">
        <v>実施時数予定</v>
      </c>
    </row>
    <row r="36">
      <c r="C36" t="str">
        <v>１年</v>
      </c>
      <c r="E36" t="str">
        <v>２年</v>
      </c>
      <c r="G36" t="str">
        <v>３年</v>
      </c>
      <c r="I36" t="str">
        <v>４年</v>
      </c>
      <c r="K36" t="str">
        <v>５年</v>
      </c>
      <c r="M36" t="str">
        <v>６年</v>
      </c>
      <c r="O36" t="str">
        <v>Ｍ時数</v>
      </c>
      <c r="P36" t="str">
        <v>食数</v>
      </c>
    </row>
    <row r="37">
      <c r="A37" t="str">
        <v>実施できる時数</v>
      </c>
      <c r="C37">
        <v>98</v>
      </c>
      <c r="E37">
        <v>103</v>
      </c>
      <c r="G37">
        <v>109</v>
      </c>
      <c r="I37">
        <v>118</v>
      </c>
      <c r="K37">
        <v>118</v>
      </c>
      <c r="M37">
        <v>118</v>
      </c>
      <c r="P37">
        <v>18</v>
      </c>
    </row>
    <row r="38">
      <c r="A38" t="str">
        <v>計画された時数</v>
      </c>
      <c r="C38">
        <v>97</v>
      </c>
      <c r="E38">
        <v>102</v>
      </c>
      <c r="G38">
        <v>108</v>
      </c>
      <c r="I38">
        <v>117</v>
      </c>
      <c r="K38">
        <v>117</v>
      </c>
      <c r="M38">
        <v>117</v>
      </c>
    </row>
    <row r="39">
      <c r="A39" t="str">
        <v>10月余剰時数</v>
      </c>
      <c r="C39">
        <v>1</v>
      </c>
      <c r="E39">
        <v>1</v>
      </c>
      <c r="G39">
        <v>1</v>
      </c>
      <c r="I39">
        <v>1</v>
      </c>
      <c r="K39">
        <v>1</v>
      </c>
      <c r="M39">
        <v>1</v>
      </c>
    </row>
    <row r="40">
      <c r="Q40">
        <v>3</v>
      </c>
    </row>
  </sheetData>
  <mergeCells count="36">
    <mergeCell ref="A1:D1"/>
    <mergeCell ref="H1:O1"/>
    <mergeCell ref="C2:D2"/>
    <mergeCell ref="E2:F2"/>
    <mergeCell ref="G2:H2"/>
    <mergeCell ref="I2:J2"/>
    <mergeCell ref="K2:L2"/>
    <mergeCell ref="M2:N2"/>
    <mergeCell ref="B34:Q34"/>
    <mergeCell ref="C36:D36"/>
    <mergeCell ref="E36:F36"/>
    <mergeCell ref="G36:H36"/>
    <mergeCell ref="I36:J36"/>
    <mergeCell ref="K36:L36"/>
    <mergeCell ref="M36:N36"/>
    <mergeCell ref="M37:N37"/>
    <mergeCell ref="A38:B38"/>
    <mergeCell ref="C38:D38"/>
    <mergeCell ref="E38:F38"/>
    <mergeCell ref="G38:H38"/>
    <mergeCell ref="I38:J38"/>
    <mergeCell ref="K38:L38"/>
    <mergeCell ref="M38:N38"/>
    <mergeCell ref="A37:B37"/>
    <mergeCell ref="C37:D37"/>
    <mergeCell ref="E37:F37"/>
    <mergeCell ref="G37:H37"/>
    <mergeCell ref="I37:J37"/>
    <mergeCell ref="K37:L37"/>
    <mergeCell ref="M39:N39"/>
    <mergeCell ref="A39:B39"/>
    <mergeCell ref="C39:D39"/>
    <mergeCell ref="E39:F39"/>
    <mergeCell ref="G39:H39"/>
    <mergeCell ref="I39:J39"/>
    <mergeCell ref="K39:L39"/>
  </mergeCells>
  <pageMargins left="0.31496062992125984" right="0.2755905511811024" top="0.1968503937007874" bottom="0.1968503937007874" header="0.31496062992125984" footer="0.31496062992125984"/>
  <ignoredErrors>
    <ignoredError numberStoredAsText="1" sqref="A1:S45"/>
  </ignoredErrors>
</worksheet>
</file>

<file path=xl/worksheets/sheet19.xml><?xml version="1.0" encoding="utf-8"?>
<worksheet xmlns="http://schemas.openxmlformats.org/spreadsheetml/2006/main" xmlns:r="http://schemas.openxmlformats.org/officeDocument/2006/relationships">
  <dimension ref="A1:S42"/>
  <sheetViews>
    <sheetView workbookViewId="0" rightToLeft="0"/>
  </sheetViews>
  <sheetData>
    <row r="2">
      <c r="A2" t="str">
        <v>令和８年度</v>
      </c>
      <c r="F2">
        <v>11</v>
      </c>
      <c r="G2" t="str">
        <v>月</v>
      </c>
      <c r="H2" t="str">
        <v>授業時数･下校予定時刻一覧表</v>
      </c>
      <c r="Q2" t="str">
        <v>本宮市立本宮まゆみ小学校</v>
      </c>
    </row>
    <row r="3">
      <c r="A3" t="str">
        <v>日</v>
      </c>
      <c r="B3" t="str">
        <v>曜</v>
      </c>
      <c r="C3" t="str">
        <v>１学年</v>
      </c>
      <c r="E3" t="str">
        <v>２学年</v>
      </c>
      <c r="G3" t="str">
        <v>３学年</v>
      </c>
      <c r="I3" t="str">
        <v>４学年</v>
      </c>
      <c r="K3" t="str">
        <v>５学年</v>
      </c>
      <c r="M3" t="str">
        <v>６学年</v>
      </c>
      <c r="O3" t="str">
        <v>特別日程</v>
      </c>
      <c r="P3" t="str">
        <v>給食</v>
      </c>
      <c r="Q3" t="str">
        <v>行　　事　　等</v>
      </c>
    </row>
    <row r="4">
      <c r="A4">
        <v>1</v>
      </c>
      <c r="B4" t="str">
        <v>日</v>
      </c>
    </row>
    <row r="5">
      <c r="A5">
        <v>2</v>
      </c>
      <c r="B5" t="str">
        <v>月</v>
      </c>
      <c r="C5">
        <v>4</v>
      </c>
      <c r="D5">
        <v>0.5868055555555556</v>
      </c>
      <c r="E5">
        <v>4</v>
      </c>
      <c r="F5">
        <v>0.5868055555555556</v>
      </c>
      <c r="G5">
        <v>5</v>
      </c>
      <c r="H5">
        <v>0.6180555555555556</v>
      </c>
      <c r="I5">
        <v>5</v>
      </c>
      <c r="J5">
        <v>0.6180555555555556</v>
      </c>
      <c r="K5">
        <v>6</v>
      </c>
      <c r="L5">
        <v>0.6527777777777778</v>
      </c>
      <c r="M5">
        <v>6</v>
      </c>
      <c r="N5">
        <v>0.6527777777777778</v>
      </c>
      <c r="P5" t="str">
        <v>○</v>
      </c>
      <c r="Q5" t="str">
        <v>登校班長会、安全点検</v>
      </c>
    </row>
    <row r="6">
      <c r="A6">
        <v>3</v>
      </c>
      <c r="B6" t="str">
        <v>火</v>
      </c>
      <c r="Q6" t="str">
        <v>文化の日</v>
      </c>
    </row>
    <row r="7">
      <c r="A7">
        <v>4</v>
      </c>
      <c r="B7" t="str">
        <v>水</v>
      </c>
      <c r="C7">
        <v>5</v>
      </c>
      <c r="D7">
        <v>0.6180555555555556</v>
      </c>
      <c r="E7">
        <v>5</v>
      </c>
      <c r="F7">
        <v>0.6180555555555556</v>
      </c>
      <c r="G7">
        <v>6</v>
      </c>
      <c r="H7">
        <v>0.6527777777777778</v>
      </c>
      <c r="I7">
        <v>6</v>
      </c>
      <c r="J7">
        <v>0.6527777777777778</v>
      </c>
      <c r="K7">
        <v>6</v>
      </c>
      <c r="L7">
        <v>0.6527777777777778</v>
      </c>
      <c r="M7">
        <v>6</v>
      </c>
      <c r="N7">
        <v>0.6527777777777778</v>
      </c>
      <c r="O7" t="str">
        <v>短縮</v>
      </c>
      <c r="P7" t="str">
        <v>○</v>
      </c>
      <c r="Q7" t="str">
        <v>【短】まゆみっ子校内発表会(全:行3)</v>
      </c>
    </row>
    <row r="8">
      <c r="A8">
        <v>5</v>
      </c>
      <c r="B8" t="str">
        <v>木</v>
      </c>
      <c r="C8">
        <v>4</v>
      </c>
      <c r="D8">
        <v>0.5694444444444444</v>
      </c>
      <c r="E8">
        <v>5</v>
      </c>
      <c r="F8">
        <v>0.6006944444444444</v>
      </c>
      <c r="G8">
        <v>5</v>
      </c>
      <c r="H8">
        <v>0.6006944444444444</v>
      </c>
      <c r="I8">
        <v>6</v>
      </c>
      <c r="J8">
        <v>0.6006944444444444</v>
      </c>
      <c r="K8">
        <v>6</v>
      </c>
      <c r="L8">
        <v>0.6006944444444444</v>
      </c>
      <c r="M8">
        <v>6</v>
      </c>
      <c r="N8">
        <v>0.6006944444444444</v>
      </c>
      <c r="P8" t="str">
        <v>○</v>
      </c>
    </row>
    <row r="9">
      <c r="A9">
        <v>6</v>
      </c>
      <c r="B9" t="str">
        <v>金</v>
      </c>
      <c r="C9">
        <v>5</v>
      </c>
      <c r="D9">
        <v>0.6180555555555556</v>
      </c>
      <c r="E9">
        <v>5</v>
      </c>
      <c r="F9">
        <v>0.6180555555555556</v>
      </c>
      <c r="G9">
        <v>5</v>
      </c>
      <c r="H9">
        <v>0.6180555555555556</v>
      </c>
      <c r="I9">
        <v>5</v>
      </c>
      <c r="J9">
        <v>0.6180555555555556</v>
      </c>
      <c r="K9">
        <v>5</v>
      </c>
      <c r="L9">
        <v>0.6180555555555556</v>
      </c>
      <c r="M9">
        <v>5</v>
      </c>
      <c r="N9">
        <v>0.6180555555555556</v>
      </c>
      <c r="P9" t="str">
        <v>○</v>
      </c>
      <c r="Q9" t="str">
        <v>※10月月案反省提出</v>
      </c>
    </row>
    <row r="10">
      <c r="A10">
        <v>7</v>
      </c>
      <c r="B10" t="str">
        <v>土</v>
      </c>
      <c r="C10">
        <v>4</v>
      </c>
      <c r="D10">
        <v>0.4930555555555556</v>
      </c>
      <c r="E10">
        <v>4</v>
      </c>
      <c r="F10">
        <v>0.4930555555555556</v>
      </c>
      <c r="G10">
        <v>4</v>
      </c>
      <c r="H10">
        <v>0.4930555555555556</v>
      </c>
      <c r="I10">
        <v>4</v>
      </c>
      <c r="J10">
        <v>0.4930555555555556</v>
      </c>
      <c r="K10">
        <v>4</v>
      </c>
      <c r="L10">
        <v>0.4930555555555556</v>
      </c>
      <c r="M10">
        <v>4</v>
      </c>
      <c r="N10">
        <v>0.4930555555555556</v>
      </c>
      <c r="P10" t="str">
        <v>×</v>
      </c>
      <c r="Q10" t="str">
        <v>まゆみっ子発表会</v>
      </c>
    </row>
    <row r="11">
      <c r="A11">
        <v>8</v>
      </c>
      <c r="B11" t="str">
        <v>日</v>
      </c>
    </row>
    <row r="12">
      <c r="A12">
        <v>9</v>
      </c>
      <c r="B12" t="str">
        <v>月</v>
      </c>
      <c r="Q12" t="str">
        <v>繰替休業日</v>
      </c>
    </row>
    <row r="13">
      <c r="A13">
        <v>10</v>
      </c>
      <c r="B13" t="str">
        <v>火</v>
      </c>
      <c r="C13">
        <v>5</v>
      </c>
      <c r="D13">
        <v>0.6006944444444444</v>
      </c>
      <c r="E13">
        <v>5</v>
      </c>
      <c r="F13">
        <v>0.6006944444444444</v>
      </c>
      <c r="G13">
        <v>5</v>
      </c>
      <c r="H13">
        <v>0.6006944444444444</v>
      </c>
      <c r="I13">
        <v>6</v>
      </c>
      <c r="J13">
        <v>0.6354166666666666</v>
      </c>
      <c r="K13">
        <v>6</v>
      </c>
      <c r="L13">
        <v>0.6354166666666666</v>
      </c>
      <c r="M13">
        <v>6</v>
      </c>
      <c r="N13">
        <v>0.6354166666666666</v>
      </c>
      <c r="P13" t="str">
        <v>○</v>
      </c>
      <c r="Q13" t="str">
        <v>クfラブ活動(上:ク1)、クラス集合写真(2校時終わり～業間：校庭) ※口座振替日1</v>
      </c>
    </row>
    <row r="14">
      <c r="A14">
        <v>11</v>
      </c>
      <c r="B14" t="str">
        <v>水</v>
      </c>
      <c r="C14">
        <v>5</v>
      </c>
      <c r="D14">
        <v>0.6180555555555556</v>
      </c>
      <c r="E14">
        <v>5</v>
      </c>
      <c r="F14">
        <v>0.6180555555555556</v>
      </c>
      <c r="G14">
        <v>5</v>
      </c>
      <c r="H14">
        <v>0.6180555555555556</v>
      </c>
      <c r="I14">
        <v>6</v>
      </c>
      <c r="J14">
        <v>0.6527777777777778</v>
      </c>
      <c r="K14">
        <v>6</v>
      </c>
      <c r="L14">
        <v>0.6527777777777778</v>
      </c>
      <c r="M14">
        <v>6</v>
      </c>
      <c r="N14">
        <v>0.6527777777777778</v>
      </c>
      <c r="P14" t="str">
        <v>○</v>
      </c>
      <c r="Q14" t="str">
        <v>国際理解講演会②③6年</v>
      </c>
    </row>
    <row r="15">
      <c r="A15">
        <v>12</v>
      </c>
      <c r="B15" t="str">
        <v>木</v>
      </c>
      <c r="C15">
        <v>4</v>
      </c>
      <c r="D15">
        <v>0.5694444444444444</v>
      </c>
      <c r="E15">
        <v>5</v>
      </c>
      <c r="F15">
        <v>0.6006944444444444</v>
      </c>
      <c r="G15">
        <v>5</v>
      </c>
      <c r="H15">
        <v>0.6006944444444444</v>
      </c>
      <c r="I15">
        <v>6</v>
      </c>
      <c r="J15">
        <v>0.6354166666666666</v>
      </c>
      <c r="K15">
        <v>6</v>
      </c>
      <c r="L15">
        <v>0.6354166666666666</v>
      </c>
      <c r="M15">
        <v>6</v>
      </c>
      <c r="N15">
        <v>0.6354166666666666</v>
      </c>
      <c r="P15" t="str">
        <v>○</v>
      </c>
      <c r="Q15" t="str">
        <v>ブックトーク②3年(和室)③5年(和室)、モトム号</v>
      </c>
    </row>
    <row r="16">
      <c r="A16">
        <v>13</v>
      </c>
      <c r="B16" t="str">
        <v>金</v>
      </c>
      <c r="C16">
        <v>5</v>
      </c>
      <c r="D16">
        <v>0.6180555555555556</v>
      </c>
      <c r="E16">
        <v>5</v>
      </c>
      <c r="F16">
        <v>0.6180555555555556</v>
      </c>
      <c r="G16">
        <v>5</v>
      </c>
      <c r="H16">
        <v>0.6180555555555556</v>
      </c>
      <c r="I16">
        <v>5</v>
      </c>
      <c r="J16">
        <v>0.6180555555555556</v>
      </c>
      <c r="K16">
        <v>5</v>
      </c>
      <c r="L16">
        <v>0.6180555555555556</v>
      </c>
      <c r="M16">
        <v>5</v>
      </c>
      <c r="N16">
        <v>0.6180555555555556</v>
      </c>
      <c r="P16" t="str">
        <v>○</v>
      </c>
    </row>
    <row r="17">
      <c r="A17">
        <v>14</v>
      </c>
      <c r="B17" t="str">
        <v>土</v>
      </c>
    </row>
    <row r="18">
      <c r="A18">
        <v>15</v>
      </c>
      <c r="B18" t="str">
        <v>日</v>
      </c>
    </row>
    <row r="19">
      <c r="A19">
        <v>16</v>
      </c>
      <c r="B19" t="str">
        <v>月</v>
      </c>
      <c r="C19">
        <v>4</v>
      </c>
      <c r="D19">
        <v>0.5868055555555556</v>
      </c>
      <c r="E19">
        <v>4</v>
      </c>
      <c r="F19">
        <v>0.5868055555555556</v>
      </c>
      <c r="G19">
        <v>5</v>
      </c>
      <c r="H19">
        <v>0.6180555555555556</v>
      </c>
      <c r="I19">
        <v>5</v>
      </c>
      <c r="J19">
        <v>0.6458333333333334</v>
      </c>
      <c r="K19">
        <v>5</v>
      </c>
      <c r="L19">
        <v>0.6458333333333334</v>
      </c>
      <c r="M19">
        <v>5</v>
      </c>
      <c r="N19">
        <v>0.6458333333333334</v>
      </c>
      <c r="P19" t="str">
        <v>○</v>
      </c>
      <c r="Q19" t="str">
        <v>児童会活動日</v>
      </c>
    </row>
    <row r="20">
      <c r="A20">
        <v>17</v>
      </c>
      <c r="B20" t="str">
        <v>火</v>
      </c>
      <c r="C20">
        <v>5</v>
      </c>
      <c r="D20">
        <v>0.6006944444444444</v>
      </c>
      <c r="E20">
        <v>5</v>
      </c>
      <c r="F20">
        <v>0.6006944444444444</v>
      </c>
      <c r="G20">
        <v>5</v>
      </c>
      <c r="H20">
        <v>0.6354166666666666</v>
      </c>
      <c r="I20">
        <v>6</v>
      </c>
      <c r="J20">
        <v>0.6354166666666666</v>
      </c>
      <c r="K20">
        <v>6</v>
      </c>
      <c r="L20">
        <v>0.6354166666666666</v>
      </c>
      <c r="M20">
        <v>6</v>
      </c>
      <c r="N20">
        <v>0.6354166666666666</v>
      </c>
      <c r="P20" t="str">
        <v>○</v>
      </c>
      <c r="Q20" t="str">
        <v>クラブ活動（上：ク1）、見学会(3年:欠1)</v>
      </c>
    </row>
    <row r="21">
      <c r="A21">
        <v>18</v>
      </c>
      <c r="B21" t="str">
        <v>水</v>
      </c>
      <c r="C21">
        <v>4</v>
      </c>
      <c r="D21">
        <v>0.5</v>
      </c>
      <c r="E21">
        <v>4</v>
      </c>
      <c r="F21">
        <v>0.5</v>
      </c>
      <c r="G21">
        <v>4</v>
      </c>
      <c r="H21">
        <v>0.5</v>
      </c>
      <c r="I21">
        <v>4</v>
      </c>
      <c r="J21">
        <v>0.5</v>
      </c>
      <c r="K21">
        <v>4</v>
      </c>
      <c r="L21">
        <v>0.5</v>
      </c>
      <c r="M21">
        <v>4</v>
      </c>
      <c r="N21">
        <v>0.5</v>
      </c>
      <c r="O21" t="str">
        <v>短縮</v>
      </c>
      <c r="P21" t="str">
        <v>×</v>
      </c>
      <c r="Q21" t="str">
        <v>【短】小教研後期研究協議会</v>
      </c>
    </row>
    <row r="22">
      <c r="A22">
        <v>19</v>
      </c>
      <c r="B22" t="str">
        <v>木</v>
      </c>
      <c r="C22">
        <v>5</v>
      </c>
      <c r="D22">
        <v>0.6006944444444444</v>
      </c>
      <c r="E22">
        <v>5</v>
      </c>
      <c r="F22">
        <v>0.6006944444444444</v>
      </c>
      <c r="G22">
        <v>6</v>
      </c>
      <c r="H22">
        <v>0.6354166666666666</v>
      </c>
      <c r="I22">
        <v>6</v>
      </c>
      <c r="J22">
        <v>0.6354166666666666</v>
      </c>
      <c r="K22">
        <v>6</v>
      </c>
      <c r="L22">
        <v>0.6354166666666666</v>
      </c>
      <c r="M22">
        <v>6</v>
      </c>
      <c r="N22">
        <v>0.6354166666666666</v>
      </c>
      <c r="P22" t="str">
        <v>○</v>
      </c>
      <c r="Q22" t="str">
        <v>なかよし班交流タイム３（業間）</v>
      </c>
    </row>
    <row r="23" xml:space="preserve">
      <c r="A23">
        <v>20</v>
      </c>
      <c r="B23" t="str">
        <v>金</v>
      </c>
      <c r="C23">
        <v>5</v>
      </c>
      <c r="D23">
        <v>0.5833333333333334</v>
      </c>
      <c r="E23">
        <v>5</v>
      </c>
      <c r="F23">
        <v>0.5833333333333334</v>
      </c>
      <c r="G23">
        <v>5</v>
      </c>
      <c r="H23">
        <v>0.5833333333333334</v>
      </c>
      <c r="I23">
        <v>5</v>
      </c>
      <c r="J23">
        <v>0.5833333333333334</v>
      </c>
      <c r="K23">
        <v>5</v>
      </c>
      <c r="L23">
        <v>0.5833333333333334</v>
      </c>
      <c r="M23">
        <v>5</v>
      </c>
      <c r="N23">
        <v>0.5833333333333334</v>
      </c>
      <c r="O23" t="str">
        <v>短縮</v>
      </c>
      <c r="P23" t="str">
        <v>○</v>
      </c>
      <c r="Q23" t="str" xml:space="preserve">
        <v xml:space="preserve">【短】職員会議、教育課程編成全体会1_x000d_
※12月時間割提出</v>
      </c>
    </row>
    <row r="24">
      <c r="A24">
        <v>21</v>
      </c>
      <c r="B24" t="str">
        <v>土</v>
      </c>
    </row>
    <row r="25">
      <c r="A25">
        <v>22</v>
      </c>
      <c r="B25" t="str">
        <v>日</v>
      </c>
      <c r="Q25" t="str">
        <v>本宮市青少年健全育成推進大会</v>
      </c>
    </row>
    <row r="26">
      <c r="A26">
        <v>23</v>
      </c>
      <c r="B26" t="str">
        <v>月</v>
      </c>
      <c r="Q26" t="str">
        <v>勤労感謝の日</v>
      </c>
    </row>
    <row r="27" xml:space="preserve">
      <c r="A27">
        <v>24</v>
      </c>
      <c r="B27" t="str">
        <v>火</v>
      </c>
      <c r="C27">
        <v>4</v>
      </c>
      <c r="D27">
        <v>0.5416666666666666</v>
      </c>
      <c r="E27">
        <v>5</v>
      </c>
      <c r="F27">
        <v>0.5833333333333334</v>
      </c>
      <c r="G27">
        <v>5</v>
      </c>
      <c r="H27">
        <v>0.5833333333333334</v>
      </c>
      <c r="I27">
        <v>5</v>
      </c>
      <c r="J27">
        <v>0.5833333333333334</v>
      </c>
      <c r="K27">
        <v>5</v>
      </c>
      <c r="L27">
        <v>0.5833333333333334</v>
      </c>
      <c r="M27">
        <v>5</v>
      </c>
      <c r="N27">
        <v>0.5833333333333334</v>
      </c>
      <c r="O27" t="str">
        <v>短縮</v>
      </c>
      <c r="P27" t="str">
        <v>○</v>
      </c>
      <c r="Q27" t="str" xml:space="preserve">
        <v xml:space="preserve">【短】個別懇談1_x000d_
</v>
      </c>
    </row>
    <row r="28" xml:space="preserve">
      <c r="A28">
        <v>25</v>
      </c>
      <c r="B28" t="str">
        <v>水</v>
      </c>
      <c r="C28">
        <v>4</v>
      </c>
      <c r="D28">
        <v>0.5416666666666666</v>
      </c>
      <c r="E28">
        <v>5</v>
      </c>
      <c r="F28">
        <v>0.5833333333333334</v>
      </c>
      <c r="G28">
        <v>5</v>
      </c>
      <c r="H28">
        <v>0.5833333333333334</v>
      </c>
      <c r="I28">
        <v>5</v>
      </c>
      <c r="J28">
        <v>0.5833333333333334</v>
      </c>
      <c r="K28">
        <v>5</v>
      </c>
      <c r="L28">
        <v>0.5833333333333334</v>
      </c>
      <c r="M28">
        <v>5</v>
      </c>
      <c r="N28">
        <v>0.5833333333333334</v>
      </c>
      <c r="O28" t="str">
        <v>短縮</v>
      </c>
      <c r="P28" t="str">
        <v>○</v>
      </c>
      <c r="Q28" t="str" xml:space="preserve">
        <v xml:space="preserve">【短】個別懇談2_x000d_
※口座振替日2</v>
      </c>
    </row>
    <row r="29">
      <c r="A29">
        <v>26</v>
      </c>
      <c r="B29" t="str">
        <v>木</v>
      </c>
      <c r="C29">
        <v>4</v>
      </c>
      <c r="D29">
        <v>0.5416666666666666</v>
      </c>
      <c r="E29">
        <v>5</v>
      </c>
      <c r="F29">
        <v>0.5833333333333334</v>
      </c>
      <c r="G29">
        <v>5</v>
      </c>
      <c r="H29">
        <v>0.5833333333333334</v>
      </c>
      <c r="I29">
        <v>5</v>
      </c>
      <c r="J29">
        <v>0.5833333333333334</v>
      </c>
      <c r="K29">
        <v>5</v>
      </c>
      <c r="L29">
        <v>0.5833333333333334</v>
      </c>
      <c r="M29">
        <v>5</v>
      </c>
      <c r="N29">
        <v>0.5833333333333334</v>
      </c>
      <c r="O29" t="str">
        <v>短縮</v>
      </c>
      <c r="P29" t="str">
        <v>○</v>
      </c>
      <c r="Q29" t="str">
        <v>【短】個別懇談3</v>
      </c>
    </row>
    <row r="30">
      <c r="A30">
        <v>27</v>
      </c>
      <c r="B30" t="str">
        <v>金</v>
      </c>
      <c r="C30">
        <v>4</v>
      </c>
      <c r="D30">
        <v>0.5416666666666666</v>
      </c>
      <c r="E30">
        <v>5</v>
      </c>
      <c r="F30">
        <v>0.5833333333333334</v>
      </c>
      <c r="G30">
        <v>5</v>
      </c>
      <c r="H30">
        <v>0.5833333333333334</v>
      </c>
      <c r="I30">
        <v>5</v>
      </c>
      <c r="J30">
        <v>0.5833333333333334</v>
      </c>
      <c r="K30">
        <v>5</v>
      </c>
      <c r="L30">
        <v>0.5833333333333334</v>
      </c>
      <c r="M30">
        <v>5</v>
      </c>
      <c r="N30">
        <v>0.5833333333333334</v>
      </c>
      <c r="O30" t="str">
        <v>短縮</v>
      </c>
      <c r="P30" t="str">
        <v>○</v>
      </c>
      <c r="Q30" t="str">
        <v>【短】個別懇談4</v>
      </c>
    </row>
    <row r="31">
      <c r="A31">
        <v>28</v>
      </c>
      <c r="B31" t="str">
        <v>土</v>
      </c>
    </row>
    <row r="32">
      <c r="A32">
        <v>29</v>
      </c>
      <c r="B32" t="str">
        <v>日</v>
      </c>
    </row>
    <row r="33" xml:space="preserve">
      <c r="A33">
        <v>30</v>
      </c>
      <c r="B33" t="str">
        <v>月</v>
      </c>
      <c r="C33">
        <v>4</v>
      </c>
      <c r="D33">
        <v>0.5416666666666666</v>
      </c>
      <c r="E33">
        <v>4</v>
      </c>
      <c r="F33">
        <v>0.5416666666666666</v>
      </c>
      <c r="G33">
        <v>5</v>
      </c>
      <c r="H33">
        <v>0.5833333333333334</v>
      </c>
      <c r="I33">
        <v>5</v>
      </c>
      <c r="J33">
        <v>0.5833333333333334</v>
      </c>
      <c r="K33">
        <v>5</v>
      </c>
      <c r="L33">
        <v>0.5833333333333334</v>
      </c>
      <c r="M33">
        <v>5</v>
      </c>
      <c r="N33">
        <v>0.5833333333333334</v>
      </c>
      <c r="O33" t="str">
        <v>短縮</v>
      </c>
      <c r="P33" t="str">
        <v>○</v>
      </c>
      <c r="Q33" t="str" xml:space="preserve">
        <v xml:space="preserve">【短】個別懇談5_x000d_
※月末統計</v>
      </c>
    </row>
    <row r="34" xml:space="preserve">
      <c r="A34" t="str">
        <v>今月の留意点</v>
      </c>
      <c r="B34" t="str" xml:space="preserve">
        <v xml:space="preserve">○11/11(水)の2・3校時に、6年国際理解講演会が入りました。_x000d_
○11/17(火)はクラブ活動見学会になります。3年生は「欠課1」扱いです。_x000d_
○11/19(木)が、２校時まで短縮ではなく、通常時程となります。</v>
      </c>
    </row>
    <row r="35">
      <c r="B35">
        <f>F2</f>
        <v>11</v>
      </c>
      <c r="C35" t="str">
        <v>月</v>
      </c>
      <c r="D35" t="str">
        <v>実施時数予定</v>
      </c>
    </row>
    <row r="36">
      <c r="C36" t="str">
        <v>１年</v>
      </c>
      <c r="E36" t="str">
        <v>２年</v>
      </c>
      <c r="G36" t="str">
        <v>３年</v>
      </c>
      <c r="I36" t="str">
        <v>４年</v>
      </c>
      <c r="K36" t="str">
        <v>５年</v>
      </c>
      <c r="M36" t="str">
        <v>６年</v>
      </c>
      <c r="O36" t="str">
        <v>Ｍ時数</v>
      </c>
      <c r="P36" t="str">
        <v>食数</v>
      </c>
    </row>
    <row r="37">
      <c r="A37" t="str">
        <v>実施できる時数</v>
      </c>
      <c r="C37">
        <f>SUM(C4:C33)+O37</f>
        <v>84</v>
      </c>
      <c r="E37">
        <f>SUM(E4:E33)+O37</f>
        <v>90</v>
      </c>
      <c r="G37">
        <f>SUM(G4:G33)+O37</f>
        <v>95</v>
      </c>
      <c r="I37">
        <f>SUM(I4:I33)+O37</f>
        <v>100</v>
      </c>
      <c r="K37">
        <f>SUM(K4:K33)+O37</f>
        <v>101</v>
      </c>
      <c r="M37">
        <f>SUM(M4:M33)+O37</f>
        <v>101</v>
      </c>
      <c r="P37">
        <f>COUNTIF(P3:P33,"○")</f>
        <v>17</v>
      </c>
    </row>
    <row r="38">
      <c r="A38" t="str">
        <v>計画された時数</v>
      </c>
      <c r="C38">
        <v>83</v>
      </c>
      <c r="E38">
        <v>90</v>
      </c>
      <c r="G38">
        <v>95</v>
      </c>
      <c r="I38">
        <v>99</v>
      </c>
      <c r="K38">
        <v>101</v>
      </c>
      <c r="M38">
        <v>101</v>
      </c>
    </row>
    <row r="39">
      <c r="A39" t="str">
        <v>10月余剰時数</v>
      </c>
      <c r="C39">
        <f>C37-C38</f>
        <v>1</v>
      </c>
      <c r="E39">
        <f>E37-E38</f>
        <v>0</v>
      </c>
      <c r="G39">
        <f>G37-G38</f>
        <v>0</v>
      </c>
      <c r="I39">
        <f>I37-I38</f>
        <v>1</v>
      </c>
      <c r="K39">
        <f>K37-K38</f>
        <v>0</v>
      </c>
      <c r="M39">
        <f>M37-M38</f>
        <v>0</v>
      </c>
    </row>
    <row r="41">
      <c r="A41" t="str">
        <v>11月余剰時数</v>
      </c>
      <c r="C41">
        <f>C39-C40</f>
        <v>1</v>
      </c>
      <c r="E41">
        <f>E39-E40</f>
        <v>0</v>
      </c>
      <c r="G41">
        <f>G39-G40</f>
        <v>0</v>
      </c>
      <c r="I41">
        <f>I39-I40</f>
        <v>1</v>
      </c>
      <c r="K41">
        <f>K39-K40</f>
        <v>0</v>
      </c>
      <c r="M41">
        <f>M39-M40</f>
        <v>0</v>
      </c>
    </row>
  </sheetData>
  <mergeCells count="53">
    <mergeCell ref="H2:P2"/>
    <mergeCell ref="M42:N42"/>
    <mergeCell ref="A42:B42"/>
    <mergeCell ref="C42:D42"/>
    <mergeCell ref="E42:F42"/>
    <mergeCell ref="G42:H42"/>
    <mergeCell ref="I42:J42"/>
    <mergeCell ref="K42:L42"/>
    <mergeCell ref="K41:L41"/>
    <mergeCell ref="M41:N41"/>
    <mergeCell ref="A41:B41"/>
    <mergeCell ref="C41:D41"/>
    <mergeCell ref="E41:F41"/>
    <mergeCell ref="G41:H41"/>
    <mergeCell ref="I41:J41"/>
    <mergeCell ref="M3:N3"/>
    <mergeCell ref="K36:L36"/>
    <mergeCell ref="M36:N36"/>
    <mergeCell ref="B34:Q34"/>
    <mergeCell ref="D35:G35"/>
    <mergeCell ref="C3:D3"/>
    <mergeCell ref="E3:F3"/>
    <mergeCell ref="G3:H3"/>
    <mergeCell ref="I3:J3"/>
    <mergeCell ref="K3:L3"/>
    <mergeCell ref="A36:B36"/>
    <mergeCell ref="C36:D36"/>
    <mergeCell ref="E36:F36"/>
    <mergeCell ref="G36:H36"/>
    <mergeCell ref="I36:J36"/>
    <mergeCell ref="M38:N38"/>
    <mergeCell ref="A37:B37"/>
    <mergeCell ref="C37:D37"/>
    <mergeCell ref="E37:F37"/>
    <mergeCell ref="G37:H37"/>
    <mergeCell ref="I37:J37"/>
    <mergeCell ref="K37:L37"/>
    <mergeCell ref="A1:Q1"/>
    <mergeCell ref="K39:L39"/>
    <mergeCell ref="M39:N39"/>
    <mergeCell ref="M37:N37"/>
    <mergeCell ref="A38:B38"/>
    <mergeCell ref="C38:D38"/>
    <mergeCell ref="E38:F38"/>
    <mergeCell ref="G38:H38"/>
    <mergeCell ref="I38:J38"/>
    <mergeCell ref="A39:B39"/>
    <mergeCell ref="C39:D39"/>
    <mergeCell ref="E39:F39"/>
    <mergeCell ref="G39:H39"/>
    <mergeCell ref="I39:J39"/>
    <mergeCell ref="K38:L38"/>
    <mergeCell ref="A2:D2"/>
  </mergeCells>
  <pageMargins left="0.31496062992125984" right="0.31496062992125984" top="0.3937007874015748" bottom="0.3937007874015748" header="0.31496062992125984" footer="0.31496062992125984"/>
  <ignoredErrors>
    <ignoredError numberStoredAsText="1" sqref="A1:S42"/>
  </ignoredErrors>
</worksheet>
</file>

<file path=xl/worksheets/sheet20.xml><?xml version="1.0" encoding="utf-8"?>
<worksheet xmlns="http://schemas.openxmlformats.org/spreadsheetml/2006/main" xmlns:r="http://schemas.openxmlformats.org/officeDocument/2006/relationships">
  <dimension ref="A1:S42"/>
  <sheetViews>
    <sheetView workbookViewId="0" rightToLeft="0"/>
  </sheetViews>
  <sheetData>
    <row r="2">
      <c r="A2" t="str">
        <v>令和７年度</v>
      </c>
      <c r="F2">
        <v>11</v>
      </c>
      <c r="G2" t="str">
        <v>月</v>
      </c>
      <c r="H2" t="str">
        <v>授業時数･下校予定時刻一覧表（改訂版）</v>
      </c>
      <c r="Q2" t="str">
        <v>本宮市立本宮まゆみ小学校</v>
      </c>
    </row>
    <row r="3">
      <c r="A3" t="str">
        <v>日</v>
      </c>
      <c r="B3" t="str">
        <v>曜</v>
      </c>
      <c r="C3" t="str">
        <v>１学年</v>
      </c>
      <c r="E3" t="str">
        <v>２学年</v>
      </c>
      <c r="G3" t="str">
        <v>３学年</v>
      </c>
      <c r="I3" t="str">
        <v>４学年</v>
      </c>
      <c r="K3" t="str">
        <v>５学年</v>
      </c>
      <c r="M3" t="str">
        <v>６学年</v>
      </c>
      <c r="O3" t="str">
        <v>特別日程</v>
      </c>
      <c r="P3" t="str">
        <v>給食</v>
      </c>
      <c r="Q3" t="str">
        <v>行　　事　　等</v>
      </c>
    </row>
    <row r="4">
      <c r="A4">
        <v>1</v>
      </c>
      <c r="B4" t="str">
        <v>土</v>
      </c>
    </row>
    <row r="5">
      <c r="A5">
        <v>2</v>
      </c>
      <c r="B5" t="str">
        <v>日</v>
      </c>
    </row>
    <row r="6">
      <c r="A6">
        <v>3</v>
      </c>
      <c r="B6" t="str">
        <v>月</v>
      </c>
      <c r="Q6" t="str">
        <v>文化の日</v>
      </c>
    </row>
    <row r="7">
      <c r="A7">
        <v>4</v>
      </c>
      <c r="B7" t="str">
        <v>火</v>
      </c>
      <c r="C7">
        <v>5</v>
      </c>
      <c r="D7">
        <v>0.6006944444444444</v>
      </c>
      <c r="E7">
        <v>5</v>
      </c>
      <c r="F7">
        <v>0.6006944444444444</v>
      </c>
      <c r="G7">
        <v>5</v>
      </c>
      <c r="H7">
        <v>0.6006944444444444</v>
      </c>
      <c r="I7">
        <v>6</v>
      </c>
      <c r="J7">
        <v>0.6354166666666666</v>
      </c>
      <c r="K7">
        <v>6</v>
      </c>
      <c r="L7">
        <v>0.6354166666666666</v>
      </c>
      <c r="M7">
        <v>6</v>
      </c>
      <c r="N7">
        <v>0.6354166666666666</v>
      </c>
      <c r="P7" t="str">
        <v>○</v>
      </c>
      <c r="Q7" t="str">
        <v>登校班長会、安全点検</v>
      </c>
    </row>
    <row r="8">
      <c r="A8">
        <v>5</v>
      </c>
      <c r="B8" t="str">
        <v>水</v>
      </c>
      <c r="C8">
        <v>5</v>
      </c>
      <c r="D8">
        <v>0.5833333333333334</v>
      </c>
      <c r="E8">
        <v>5</v>
      </c>
      <c r="F8">
        <v>0.5833333333333334</v>
      </c>
      <c r="G8">
        <v>6</v>
      </c>
      <c r="H8">
        <v>0.6215277777777778</v>
      </c>
      <c r="I8">
        <v>6</v>
      </c>
      <c r="J8">
        <v>0.6215277777777778</v>
      </c>
      <c r="K8">
        <v>6</v>
      </c>
      <c r="L8">
        <v>0.6215277777777778</v>
      </c>
      <c r="M8">
        <v>6</v>
      </c>
      <c r="N8">
        <v>0.6215277777777778</v>
      </c>
      <c r="O8" t="str">
        <v>短縮</v>
      </c>
      <c r="P8" t="str">
        <v>○</v>
      </c>
      <c r="Q8" t="str">
        <v>【短縮】まゆみっ子校内発表会（全:教4）</v>
      </c>
    </row>
    <row r="9">
      <c r="A9">
        <v>6</v>
      </c>
      <c r="B9" t="str">
        <v>木</v>
      </c>
      <c r="C9">
        <v>4</v>
      </c>
      <c r="D9">
        <v>0.5694444444444444</v>
      </c>
      <c r="E9">
        <v>5</v>
      </c>
      <c r="F9">
        <v>0.6006944444444444</v>
      </c>
      <c r="G9">
        <v>5</v>
      </c>
      <c r="H9">
        <v>0.6006944444444444</v>
      </c>
      <c r="I9">
        <v>6</v>
      </c>
      <c r="J9">
        <v>0.6354166666666666</v>
      </c>
      <c r="K9">
        <v>6</v>
      </c>
      <c r="L9">
        <v>0.6354166666666666</v>
      </c>
      <c r="M9">
        <v>6</v>
      </c>
      <c r="N9">
        <v>0.6354166666666666</v>
      </c>
      <c r="P9" t="str">
        <v>○</v>
      </c>
      <c r="Q9" t="str">
        <v>※10月月案反省提出</v>
      </c>
    </row>
    <row r="10">
      <c r="A10">
        <v>7</v>
      </c>
      <c r="B10" t="str">
        <v>金</v>
      </c>
      <c r="C10">
        <v>5</v>
      </c>
      <c r="D10">
        <v>0.6180555555555556</v>
      </c>
      <c r="E10">
        <v>5</v>
      </c>
      <c r="F10">
        <v>0.6180555555555556</v>
      </c>
      <c r="G10">
        <v>5</v>
      </c>
      <c r="H10">
        <v>0.6180555555555556</v>
      </c>
      <c r="I10">
        <v>5</v>
      </c>
      <c r="J10">
        <v>0.6180555555555556</v>
      </c>
      <c r="K10">
        <v>5</v>
      </c>
      <c r="L10">
        <v>0.6180555555555556</v>
      </c>
      <c r="M10">
        <v>5</v>
      </c>
      <c r="N10">
        <v>0.6180555555555556</v>
      </c>
      <c r="P10" t="str">
        <v>○</v>
      </c>
      <c r="Q10" t="str">
        <v>生徒指導・現職教育委員会</v>
      </c>
    </row>
    <row r="11">
      <c r="A11">
        <v>8</v>
      </c>
      <c r="B11" t="str">
        <v>土</v>
      </c>
      <c r="C11">
        <v>4</v>
      </c>
      <c r="D11">
        <v>0.4930555555555556</v>
      </c>
      <c r="E11">
        <v>4</v>
      </c>
      <c r="F11">
        <v>0.4930555555555556</v>
      </c>
      <c r="G11">
        <v>4</v>
      </c>
      <c r="H11">
        <v>0.4930555555555556</v>
      </c>
      <c r="I11">
        <v>4</v>
      </c>
      <c r="J11">
        <v>0.4930555555555556</v>
      </c>
      <c r="K11">
        <v>4</v>
      </c>
      <c r="L11">
        <v>0.4930555555555556</v>
      </c>
      <c r="M11">
        <v>4</v>
      </c>
      <c r="N11">
        <v>0.4930555555555556</v>
      </c>
      <c r="P11" t="str">
        <v>×</v>
      </c>
      <c r="Q11" t="str">
        <v>まゆみっ子発表会</v>
      </c>
    </row>
    <row r="12">
      <c r="A12">
        <v>9</v>
      </c>
      <c r="B12" t="str">
        <v>日</v>
      </c>
    </row>
    <row r="13">
      <c r="A13">
        <v>10</v>
      </c>
      <c r="B13" t="str">
        <v>月</v>
      </c>
      <c r="Q13" t="str">
        <v>繰替休業日</v>
      </c>
    </row>
    <row r="14" xml:space="preserve">
      <c r="A14">
        <v>11</v>
      </c>
      <c r="B14" t="str">
        <v>火</v>
      </c>
      <c r="C14">
        <v>5</v>
      </c>
      <c r="D14">
        <v>0.6180555555555556</v>
      </c>
      <c r="E14">
        <v>5</v>
      </c>
      <c r="F14">
        <v>0.6180555555555556</v>
      </c>
      <c r="G14">
        <v>5</v>
      </c>
      <c r="H14">
        <v>0.6180555555555556</v>
      </c>
      <c r="I14">
        <v>5</v>
      </c>
      <c r="J14">
        <v>0.6180555555555556</v>
      </c>
      <c r="K14">
        <v>6</v>
      </c>
      <c r="L14">
        <v>0.6527777777777778</v>
      </c>
      <c r="M14">
        <v>6</v>
      </c>
      <c r="N14">
        <v>0.6527777777777778</v>
      </c>
      <c r="P14" t="str">
        <v>○</v>
      </c>
      <c r="Q14" t="str" xml:space="preserve">
        <v xml:space="preserve">【月・水・金日程】_x000d_
※口座振替日1</v>
      </c>
    </row>
    <row r="15">
      <c r="A15">
        <v>12</v>
      </c>
      <c r="B15" t="str">
        <v>水</v>
      </c>
      <c r="C15">
        <v>4</v>
      </c>
      <c r="D15">
        <v>0.5694444444444444</v>
      </c>
      <c r="E15">
        <v>4</v>
      </c>
      <c r="F15">
        <v>0.5694444444444444</v>
      </c>
      <c r="G15">
        <v>4</v>
      </c>
      <c r="H15">
        <v>0.5694444444444444</v>
      </c>
      <c r="I15">
        <v>4</v>
      </c>
      <c r="J15">
        <v>0.5694444444444444</v>
      </c>
      <c r="K15">
        <v>5</v>
      </c>
      <c r="L15">
        <v>0.6006944444444444</v>
      </c>
      <c r="M15">
        <v>5</v>
      </c>
      <c r="N15">
        <v>0.6006944444444444</v>
      </c>
      <c r="P15" t="str">
        <v>○</v>
      </c>
      <c r="Q15" t="str">
        <v>【火・木日程】食に関する授業②③（６年：学1）</v>
      </c>
    </row>
    <row r="16">
      <c r="A16">
        <v>13</v>
      </c>
      <c r="B16" t="str">
        <v>木</v>
      </c>
      <c r="C16">
        <v>4</v>
      </c>
      <c r="D16">
        <v>0.5694444444444444</v>
      </c>
      <c r="E16">
        <v>5</v>
      </c>
      <c r="F16">
        <v>0.6006944444444444</v>
      </c>
      <c r="G16">
        <v>5</v>
      </c>
      <c r="H16">
        <v>0.6006944444444444</v>
      </c>
      <c r="I16">
        <v>6</v>
      </c>
      <c r="J16">
        <v>0.6354166666666666</v>
      </c>
      <c r="K16">
        <v>6</v>
      </c>
      <c r="L16">
        <v>0.6354166666666666</v>
      </c>
      <c r="M16">
        <v>6</v>
      </c>
      <c r="N16">
        <v>0.6354166666666666</v>
      </c>
      <c r="P16" t="str">
        <v>○</v>
      </c>
      <c r="Q16" t="str">
        <v>放射線教育②③（３年）</v>
      </c>
    </row>
    <row r="17">
      <c r="A17">
        <v>14</v>
      </c>
      <c r="B17" t="str">
        <v>金</v>
      </c>
      <c r="C17">
        <v>5</v>
      </c>
      <c r="D17">
        <v>0.6180555555555556</v>
      </c>
      <c r="E17">
        <v>5</v>
      </c>
      <c r="F17">
        <v>0.6180555555555556</v>
      </c>
      <c r="G17">
        <v>5</v>
      </c>
      <c r="H17">
        <v>0.6180555555555556</v>
      </c>
      <c r="I17">
        <v>5</v>
      </c>
      <c r="J17">
        <v>0.6458333333333334</v>
      </c>
      <c r="K17">
        <v>5</v>
      </c>
      <c r="L17">
        <v>0.6458333333333334</v>
      </c>
      <c r="M17">
        <v>5</v>
      </c>
      <c r="N17">
        <v>0.6458333333333334</v>
      </c>
      <c r="P17" t="str">
        <v>○</v>
      </c>
      <c r="Q17" t="str">
        <v>児童会活動日、放射線教育②③（４年）</v>
      </c>
    </row>
    <row r="18">
      <c r="A18">
        <v>15</v>
      </c>
      <c r="B18" t="str">
        <v>土</v>
      </c>
    </row>
    <row r="19">
      <c r="A19">
        <v>16</v>
      </c>
      <c r="B19" t="str">
        <v>日</v>
      </c>
    </row>
    <row r="20">
      <c r="A20">
        <v>17</v>
      </c>
      <c r="B20" t="str">
        <v>月</v>
      </c>
      <c r="C20">
        <v>5</v>
      </c>
      <c r="D20">
        <v>0.5833333333333334</v>
      </c>
      <c r="E20">
        <v>5</v>
      </c>
      <c r="F20">
        <v>0.5833333333333334</v>
      </c>
      <c r="G20">
        <v>5</v>
      </c>
      <c r="H20">
        <v>0.5833333333333334</v>
      </c>
      <c r="I20">
        <v>5</v>
      </c>
      <c r="J20">
        <v>0.5833333333333334</v>
      </c>
      <c r="K20">
        <v>5</v>
      </c>
      <c r="L20">
        <v>0.5833333333333334</v>
      </c>
      <c r="M20">
        <v>5</v>
      </c>
      <c r="N20">
        <v>0.5833333333333334</v>
      </c>
      <c r="O20" t="str">
        <v>短縮</v>
      </c>
      <c r="P20" t="str">
        <v>○</v>
      </c>
      <c r="Q20" t="str">
        <v>【短縮】職員会議、教育課程編成全体会１、本宮一中学校区交流会</v>
      </c>
    </row>
    <row r="21">
      <c r="A21">
        <v>18</v>
      </c>
      <c r="B21" t="str">
        <v>火</v>
      </c>
      <c r="C21">
        <v>5</v>
      </c>
      <c r="D21">
        <v>0.6006944444444444</v>
      </c>
      <c r="E21">
        <v>5</v>
      </c>
      <c r="F21">
        <v>0.6006944444444444</v>
      </c>
      <c r="G21">
        <v>5</v>
      </c>
      <c r="H21">
        <v>0.6006944444444444</v>
      </c>
      <c r="I21">
        <v>6</v>
      </c>
      <c r="J21">
        <v>0.6354166666666666</v>
      </c>
      <c r="K21">
        <v>6</v>
      </c>
      <c r="L21">
        <v>0.6354166666666666</v>
      </c>
      <c r="M21">
        <v>6</v>
      </c>
      <c r="N21">
        <v>0.6354166666666666</v>
      </c>
      <c r="P21" t="str">
        <v>○</v>
      </c>
      <c r="Q21" t="str">
        <v>クラブ活動（上：ク1）、放射線教育②③（５年）</v>
      </c>
    </row>
    <row r="22">
      <c r="A22">
        <v>19</v>
      </c>
      <c r="B22" t="str">
        <v>水</v>
      </c>
      <c r="C22">
        <v>4</v>
      </c>
      <c r="D22">
        <v>0.5</v>
      </c>
      <c r="E22">
        <v>4</v>
      </c>
      <c r="F22">
        <v>0.5</v>
      </c>
      <c r="G22">
        <v>4</v>
      </c>
      <c r="H22">
        <v>0.5</v>
      </c>
      <c r="I22">
        <v>4</v>
      </c>
      <c r="J22">
        <v>0.5</v>
      </c>
      <c r="K22">
        <v>4</v>
      </c>
      <c r="L22">
        <v>0.5</v>
      </c>
      <c r="M22">
        <v>4</v>
      </c>
      <c r="N22">
        <v>0.5</v>
      </c>
      <c r="O22" t="str">
        <v>短縮</v>
      </c>
      <c r="P22" t="str">
        <v>×</v>
      </c>
      <c r="Q22" t="str">
        <v>【短縮】小教研後期研究協議会</v>
      </c>
    </row>
    <row r="23">
      <c r="A23">
        <v>20</v>
      </c>
      <c r="B23" t="str">
        <v>木</v>
      </c>
      <c r="C23">
        <v>5</v>
      </c>
      <c r="D23">
        <v>0.6006944444444444</v>
      </c>
      <c r="E23">
        <v>5</v>
      </c>
      <c r="F23">
        <v>0.6006944444444444</v>
      </c>
      <c r="G23">
        <v>6</v>
      </c>
      <c r="H23">
        <v>0.6354166666666666</v>
      </c>
      <c r="I23">
        <v>6</v>
      </c>
      <c r="J23">
        <v>0.6354166666666666</v>
      </c>
      <c r="K23">
        <v>6</v>
      </c>
      <c r="L23">
        <v>0.6354166666666666</v>
      </c>
      <c r="M23">
        <v>6</v>
      </c>
      <c r="N23">
        <v>0.6354166666666666</v>
      </c>
      <c r="O23" t="str">
        <v>２校時まで短縮</v>
      </c>
      <c r="P23" t="str">
        <v>○</v>
      </c>
      <c r="Q23" t="str">
        <v>【２校時まで短縮】なかよし班交流タイム３（業間）、放射線教育②③（６年）</v>
      </c>
    </row>
    <row r="24" xml:space="preserve">
      <c r="A24">
        <v>21</v>
      </c>
      <c r="B24" t="str">
        <v>金</v>
      </c>
      <c r="C24">
        <v>4</v>
      </c>
      <c r="D24">
        <v>0.5416666666666666</v>
      </c>
      <c r="E24">
        <v>5</v>
      </c>
      <c r="F24">
        <v>0.5833333333333334</v>
      </c>
      <c r="G24">
        <v>5</v>
      </c>
      <c r="H24">
        <v>0.5833333333333334</v>
      </c>
      <c r="I24">
        <v>5</v>
      </c>
      <c r="J24">
        <v>0.5833333333333334</v>
      </c>
      <c r="K24">
        <v>5</v>
      </c>
      <c r="L24">
        <v>0.5833333333333334</v>
      </c>
      <c r="M24">
        <v>5</v>
      </c>
      <c r="N24">
        <v>0.5833333333333334</v>
      </c>
      <c r="O24" t="str">
        <v>短縮</v>
      </c>
      <c r="P24" t="str">
        <v>○</v>
      </c>
      <c r="Q24" t="str" xml:space="preserve">
        <v xml:space="preserve">【短】個別懇談1_x000d_
※１２月時間割提出</v>
      </c>
    </row>
    <row r="25">
      <c r="A25">
        <v>22</v>
      </c>
      <c r="B25" t="str">
        <v>土</v>
      </c>
    </row>
    <row r="26" xml:space="preserve">
      <c r="A26">
        <v>23</v>
      </c>
      <c r="B26" t="str">
        <v>日</v>
      </c>
      <c r="Q26" t="str" xml:space="preserve">
        <v xml:space="preserve">勤労感謝の日_x000d_
本宮市青少年健全育成推進大会</v>
      </c>
    </row>
    <row r="27">
      <c r="A27">
        <v>24</v>
      </c>
      <c r="B27" t="str">
        <v>月</v>
      </c>
      <c r="Q27" t="str">
        <v>振替休日</v>
      </c>
    </row>
    <row r="28">
      <c r="A28">
        <v>25</v>
      </c>
      <c r="B28" t="str">
        <v>火</v>
      </c>
      <c r="C28">
        <v>4</v>
      </c>
      <c r="D28">
        <v>0.5694444444444444</v>
      </c>
      <c r="E28">
        <v>4</v>
      </c>
      <c r="F28">
        <v>0.5694444444444444</v>
      </c>
      <c r="G28">
        <v>5</v>
      </c>
      <c r="H28">
        <v>0.6006944444444444</v>
      </c>
      <c r="I28">
        <v>6</v>
      </c>
      <c r="J28">
        <v>0.6354166666666666</v>
      </c>
      <c r="K28">
        <v>6</v>
      </c>
      <c r="L28">
        <v>0.6354166666666666</v>
      </c>
      <c r="M28">
        <v>6</v>
      </c>
      <c r="N28">
        <v>0.6354166666666666</v>
      </c>
      <c r="P28" t="str">
        <v>○</v>
      </c>
      <c r="Q28" t="str">
        <v>放射線教育②③（２年）、※口座振替日2</v>
      </c>
    </row>
    <row r="29">
      <c r="A29">
        <v>26</v>
      </c>
      <c r="B29" t="str">
        <v>水</v>
      </c>
      <c r="C29">
        <v>4</v>
      </c>
      <c r="D29">
        <v>0.5416666666666666</v>
      </c>
      <c r="E29">
        <v>5</v>
      </c>
      <c r="F29">
        <v>0.5833333333333334</v>
      </c>
      <c r="G29">
        <v>5</v>
      </c>
      <c r="H29">
        <v>0.5833333333333334</v>
      </c>
      <c r="I29">
        <v>5</v>
      </c>
      <c r="J29">
        <v>0.5833333333333334</v>
      </c>
      <c r="K29">
        <v>5</v>
      </c>
      <c r="L29">
        <v>0.5833333333333334</v>
      </c>
      <c r="M29">
        <v>5</v>
      </c>
      <c r="N29">
        <v>0.5833333333333334</v>
      </c>
      <c r="O29" t="str">
        <v>短縮</v>
      </c>
      <c r="P29" t="str">
        <v>○</v>
      </c>
      <c r="Q29" t="str">
        <v>【短】個別懇談2、放射線教育②③（１年）</v>
      </c>
    </row>
    <row r="30">
      <c r="A30">
        <v>27</v>
      </c>
      <c r="B30" t="str">
        <v>木</v>
      </c>
      <c r="C30">
        <v>4</v>
      </c>
      <c r="D30">
        <v>0.5416666666666666</v>
      </c>
      <c r="E30">
        <v>5</v>
      </c>
      <c r="F30">
        <v>0.5833333333333334</v>
      </c>
      <c r="G30">
        <v>5</v>
      </c>
      <c r="H30">
        <v>0.5833333333333334</v>
      </c>
      <c r="I30">
        <v>5</v>
      </c>
      <c r="J30">
        <v>0.5833333333333334</v>
      </c>
      <c r="K30">
        <v>5</v>
      </c>
      <c r="L30">
        <v>0.5833333333333334</v>
      </c>
      <c r="M30">
        <v>5</v>
      </c>
      <c r="N30">
        <v>0.5833333333333334</v>
      </c>
      <c r="O30" t="str">
        <v>短縮</v>
      </c>
      <c r="P30" t="str">
        <v>○</v>
      </c>
      <c r="Q30" t="str">
        <v>【短】個別懇談3</v>
      </c>
    </row>
    <row r="31" xml:space="preserve">
      <c r="A31">
        <v>28</v>
      </c>
      <c r="B31" t="str">
        <v>金</v>
      </c>
      <c r="C31">
        <v>4</v>
      </c>
      <c r="D31">
        <v>0.5416666666666666</v>
      </c>
      <c r="E31">
        <v>5</v>
      </c>
      <c r="F31">
        <v>0.5833333333333334</v>
      </c>
      <c r="G31">
        <v>5</v>
      </c>
      <c r="H31">
        <v>0.5833333333333334</v>
      </c>
      <c r="I31">
        <v>5</v>
      </c>
      <c r="J31">
        <v>0.5833333333333334</v>
      </c>
      <c r="K31">
        <v>5</v>
      </c>
      <c r="L31">
        <v>0.5833333333333334</v>
      </c>
      <c r="M31">
        <v>5</v>
      </c>
      <c r="N31">
        <v>0.5833333333333334</v>
      </c>
      <c r="O31" t="str">
        <v>短縮</v>
      </c>
      <c r="P31" t="str">
        <v>○</v>
      </c>
      <c r="Q31" t="str" xml:space="preserve">
        <v xml:space="preserve">【短】個別懇談4_x000d_
※月末統計</v>
      </c>
    </row>
    <row r="32">
      <c r="A32">
        <v>29</v>
      </c>
      <c r="B32" t="str">
        <v>土</v>
      </c>
    </row>
    <row r="33">
      <c r="A33">
        <v>30</v>
      </c>
      <c r="B33" t="str">
        <v>日</v>
      </c>
    </row>
    <row r="34" xml:space="preserve">
      <c r="A34" t="str">
        <v>今月の留意点</v>
      </c>
      <c r="B34" t="str" xml:space="preserve">
        <v xml:space="preserve">○都合により、１１月１２日を予定よりもー１時間とします。_x000d_
〇火・木４校時の下校時刻が間違っていました。修正しました。_x000d_
〇11/7(金)の下校時刻が間違っていました。修正しました。_x000d_
〇１・２年生が11/17(月)→５校時下校、11/25(火)→４校時下校に変更になっています。_x000d_
〇各学年、放射線教育が入ります。_x000d_
〇電子図書館に関する時間を学活１でお願いします。できるだけ上旬に入れてください。</v>
      </c>
    </row>
    <row r="35">
      <c r="B35">
        <f>F2</f>
        <v>11</v>
      </c>
      <c r="C35" t="str">
        <v>月</v>
      </c>
      <c r="D35" t="str">
        <v>実施時数予定</v>
      </c>
    </row>
    <row r="36">
      <c r="C36" t="str">
        <v>１年</v>
      </c>
      <c r="E36" t="str">
        <v>２年</v>
      </c>
      <c r="G36" t="str">
        <v>３年</v>
      </c>
      <c r="I36" t="str">
        <v>４年</v>
      </c>
      <c r="K36" t="str">
        <v>５年</v>
      </c>
      <c r="M36" t="str">
        <v>６年</v>
      </c>
      <c r="O36" t="str">
        <v>Ｍ時数</v>
      </c>
      <c r="P36" t="str">
        <v>食数</v>
      </c>
    </row>
    <row r="37">
      <c r="A37" t="str">
        <v>実施できる時数</v>
      </c>
      <c r="C37">
        <f>SUM(C4:C33)+O37</f>
        <v>80</v>
      </c>
      <c r="E37">
        <f>SUM(E4:E33)+O37</f>
        <v>86</v>
      </c>
      <c r="G37">
        <f>SUM(G4:G33)+O37</f>
        <v>89</v>
      </c>
      <c r="I37">
        <f>SUM(I4:I33)+O37</f>
        <v>94</v>
      </c>
      <c r="K37">
        <f>SUM(K4:K33)+O37</f>
        <v>96</v>
      </c>
      <c r="M37">
        <f>SUM(M4:M33)+O37</f>
        <v>96</v>
      </c>
      <c r="P37">
        <f>COUNTIF(P3:P33,"○")</f>
        <v>16</v>
      </c>
    </row>
    <row r="38">
      <c r="A38" t="str">
        <v>計画された時数</v>
      </c>
      <c r="C38">
        <v>81</v>
      </c>
      <c r="E38">
        <v>87</v>
      </c>
      <c r="G38">
        <v>90</v>
      </c>
      <c r="I38">
        <v>94</v>
      </c>
      <c r="K38">
        <v>96</v>
      </c>
      <c r="M38">
        <v>97</v>
      </c>
    </row>
    <row r="39">
      <c r="A39" t="str">
        <v>10月余剰時数</v>
      </c>
      <c r="C39">
        <f>C37-C38</f>
        <v>-1</v>
      </c>
      <c r="E39">
        <f>E37-E38</f>
        <v>-1</v>
      </c>
      <c r="G39">
        <f>G37-G38</f>
        <v>-1</v>
      </c>
      <c r="I39">
        <f>I37-I38</f>
        <v>0</v>
      </c>
      <c r="K39">
        <f>K37-K38</f>
        <v>0</v>
      </c>
      <c r="M39">
        <f>M37-M38</f>
        <v>-1</v>
      </c>
    </row>
    <row r="41">
      <c r="A41" t="str">
        <v>11月余剰時数</v>
      </c>
      <c r="C41">
        <f>C39-C40</f>
        <v>-1</v>
      </c>
      <c r="E41">
        <f>E39-E40</f>
        <v>-1</v>
      </c>
      <c r="G41">
        <f>G39-G40</f>
        <v>-1</v>
      </c>
      <c r="I41">
        <f>I39-I40</f>
        <v>0</v>
      </c>
      <c r="K41">
        <f>K39-K40</f>
        <v>0</v>
      </c>
      <c r="M41">
        <f>M39-M40</f>
        <v>-1</v>
      </c>
    </row>
  </sheetData>
  <mergeCells count="53">
    <mergeCell ref="M42:N42"/>
    <mergeCell ref="A42:B42"/>
    <mergeCell ref="C42:D42"/>
    <mergeCell ref="E42:F42"/>
    <mergeCell ref="G42:H42"/>
    <mergeCell ref="I42:J42"/>
    <mergeCell ref="K42:L42"/>
    <mergeCell ref="M39:N39"/>
    <mergeCell ref="A41:B41"/>
    <mergeCell ref="C41:D41"/>
    <mergeCell ref="E41:F41"/>
    <mergeCell ref="G41:H41"/>
    <mergeCell ref="I41:J41"/>
    <mergeCell ref="K41:L41"/>
    <mergeCell ref="M41:N41"/>
    <mergeCell ref="A39:B39"/>
    <mergeCell ref="C39:D39"/>
    <mergeCell ref="E39:F39"/>
    <mergeCell ref="G39:H39"/>
    <mergeCell ref="I39:J39"/>
    <mergeCell ref="K39:L39"/>
    <mergeCell ref="M37:N37"/>
    <mergeCell ref="A38:B38"/>
    <mergeCell ref="C38:D38"/>
    <mergeCell ref="E38:F38"/>
    <mergeCell ref="G38:H38"/>
    <mergeCell ref="I38:J38"/>
    <mergeCell ref="K38:L38"/>
    <mergeCell ref="M38:N38"/>
    <mergeCell ref="A37:B37"/>
    <mergeCell ref="C37:D37"/>
    <mergeCell ref="E37:F37"/>
    <mergeCell ref="G37:H37"/>
    <mergeCell ref="I37:J37"/>
    <mergeCell ref="K37:L37"/>
    <mergeCell ref="B34:Q34"/>
    <mergeCell ref="D35:G35"/>
    <mergeCell ref="A36:B36"/>
    <mergeCell ref="C36:D36"/>
    <mergeCell ref="E36:F36"/>
    <mergeCell ref="G36:H36"/>
    <mergeCell ref="I36:J36"/>
    <mergeCell ref="K36:L36"/>
    <mergeCell ref="M36:N36"/>
    <mergeCell ref="A1:Q1"/>
    <mergeCell ref="A2:D2"/>
    <mergeCell ref="H2:P2"/>
    <mergeCell ref="C3:D3"/>
    <mergeCell ref="E3:F3"/>
    <mergeCell ref="G3:H3"/>
    <mergeCell ref="I3:J3"/>
    <mergeCell ref="K3:L3"/>
    <mergeCell ref="M3:N3"/>
  </mergeCells>
  <pageMargins left="0.31496062992125984" right="0.31496062992125984" top="0.3937007874015748" bottom="0.3937007874015748" header="0.31496062992125984" footer="0.31496062992125984"/>
  <ignoredErrors>
    <ignoredError numberStoredAsText="1" sqref="A1:S42"/>
  </ignoredErrors>
</worksheet>
</file>

<file path=xl/worksheets/sheet21.xml><?xml version="1.0" encoding="utf-8"?>
<worksheet xmlns="http://schemas.openxmlformats.org/spreadsheetml/2006/main" xmlns:r="http://schemas.openxmlformats.org/officeDocument/2006/relationships">
  <dimension ref="A1:S42"/>
  <sheetViews>
    <sheetView workbookViewId="0" rightToLeft="0"/>
  </sheetViews>
  <sheetData>
    <row r="2">
      <c r="A2" t="str">
        <v>令和７年度</v>
      </c>
      <c r="F2">
        <v>11</v>
      </c>
      <c r="G2" t="str">
        <v>月</v>
      </c>
      <c r="H2" t="str">
        <v>授業時数･下校予定時刻一覧表（10/24版）</v>
      </c>
      <c r="Q2" t="str">
        <v>本宮市立本宮まゆみ小学校</v>
      </c>
    </row>
    <row r="3">
      <c r="A3" t="str">
        <v>日</v>
      </c>
      <c r="B3" t="str">
        <v>曜</v>
      </c>
      <c r="C3" t="str">
        <v>１学年</v>
      </c>
      <c r="E3" t="str">
        <v>２学年</v>
      </c>
      <c r="G3" t="str">
        <v>３学年</v>
      </c>
      <c r="I3" t="str">
        <v>４学年</v>
      </c>
      <c r="K3" t="str">
        <v>５学年</v>
      </c>
      <c r="M3" t="str">
        <v>６学年</v>
      </c>
      <c r="O3" t="str">
        <v>特別日程</v>
      </c>
      <c r="P3" t="str">
        <v>給食</v>
      </c>
      <c r="Q3" t="str">
        <v>行　　事　　等</v>
      </c>
    </row>
    <row r="4">
      <c r="A4">
        <v>1</v>
      </c>
      <c r="B4" t="str">
        <v>土</v>
      </c>
    </row>
    <row r="5">
      <c r="A5">
        <v>2</v>
      </c>
      <c r="B5" t="str">
        <v>日</v>
      </c>
    </row>
    <row r="6">
      <c r="A6">
        <v>3</v>
      </c>
      <c r="B6" t="str">
        <v>月</v>
      </c>
      <c r="Q6" t="str">
        <v>文化の日</v>
      </c>
    </row>
    <row r="7">
      <c r="A7">
        <v>4</v>
      </c>
      <c r="B7" t="str">
        <v>火</v>
      </c>
      <c r="C7">
        <v>5</v>
      </c>
      <c r="D7">
        <v>0.6006944444444444</v>
      </c>
      <c r="E7">
        <v>5</v>
      </c>
      <c r="F7">
        <v>0.6006944444444444</v>
      </c>
      <c r="G7">
        <v>5</v>
      </c>
      <c r="H7">
        <v>0.6006944444444444</v>
      </c>
      <c r="I7">
        <v>6</v>
      </c>
      <c r="J7">
        <v>0.6354166666666666</v>
      </c>
      <c r="K7">
        <v>6</v>
      </c>
      <c r="L7">
        <v>0.6354166666666666</v>
      </c>
      <c r="M7">
        <v>6</v>
      </c>
      <c r="N7">
        <v>0.6354166666666666</v>
      </c>
      <c r="P7" t="str">
        <v>○</v>
      </c>
      <c r="Q7" t="str">
        <v>登校班長会、安全点検</v>
      </c>
    </row>
    <row r="8">
      <c r="A8">
        <v>5</v>
      </c>
      <c r="B8" t="str">
        <v>水</v>
      </c>
      <c r="C8">
        <v>5</v>
      </c>
      <c r="D8">
        <v>0.5833333333333334</v>
      </c>
      <c r="E8">
        <v>5</v>
      </c>
      <c r="F8">
        <v>0.5833333333333334</v>
      </c>
      <c r="G8">
        <v>6</v>
      </c>
      <c r="H8">
        <v>0.6215277777777778</v>
      </c>
      <c r="I8">
        <v>6</v>
      </c>
      <c r="J8">
        <v>0.6215277777777778</v>
      </c>
      <c r="K8">
        <v>6</v>
      </c>
      <c r="L8">
        <v>0.6215277777777778</v>
      </c>
      <c r="M8">
        <v>6</v>
      </c>
      <c r="N8">
        <v>0.6215277777777778</v>
      </c>
      <c r="O8" t="str">
        <v>短縮</v>
      </c>
      <c r="P8" t="str">
        <v>○</v>
      </c>
      <c r="Q8" t="str">
        <v>【短縮】まゆみっ子校内発表会（全:教4）</v>
      </c>
    </row>
    <row r="9">
      <c r="A9">
        <v>6</v>
      </c>
      <c r="B9" t="str">
        <v>木</v>
      </c>
      <c r="C9">
        <v>4</v>
      </c>
      <c r="D9">
        <v>0.5694444444444444</v>
      </c>
      <c r="E9">
        <v>5</v>
      </c>
      <c r="F9">
        <v>0.6006944444444444</v>
      </c>
      <c r="G9">
        <v>5</v>
      </c>
      <c r="H9">
        <v>0.6006944444444444</v>
      </c>
      <c r="I9">
        <v>6</v>
      </c>
      <c r="J9">
        <v>0.6354166666666666</v>
      </c>
      <c r="K9">
        <v>6</v>
      </c>
      <c r="L9">
        <v>0.6354166666666666</v>
      </c>
      <c r="M9">
        <v>6</v>
      </c>
      <c r="N9">
        <v>0.6354166666666666</v>
      </c>
      <c r="P9" t="str">
        <v>○</v>
      </c>
      <c r="Q9" t="str">
        <v>※10月月案反省提出</v>
      </c>
    </row>
    <row r="10">
      <c r="A10">
        <v>7</v>
      </c>
      <c r="B10" t="str">
        <v>金</v>
      </c>
      <c r="C10">
        <v>5</v>
      </c>
      <c r="D10">
        <v>0.6180555555555556</v>
      </c>
      <c r="E10">
        <v>5</v>
      </c>
      <c r="F10">
        <v>0.6180555555555556</v>
      </c>
      <c r="G10">
        <v>5</v>
      </c>
      <c r="H10">
        <v>0.6180555555555556</v>
      </c>
      <c r="I10">
        <v>5</v>
      </c>
      <c r="J10">
        <v>0.6180555555555556</v>
      </c>
      <c r="K10">
        <v>5</v>
      </c>
      <c r="L10">
        <v>0.6180555555555556</v>
      </c>
      <c r="M10">
        <v>5</v>
      </c>
      <c r="N10">
        <v>0.6180555555555556</v>
      </c>
      <c r="P10" t="str">
        <v>○</v>
      </c>
      <c r="Q10" t="str">
        <v>生徒指導・現職教育委員会</v>
      </c>
    </row>
    <row r="11">
      <c r="A11">
        <v>8</v>
      </c>
      <c r="B11" t="str">
        <v>土</v>
      </c>
      <c r="C11">
        <v>4</v>
      </c>
      <c r="D11">
        <v>0.4930555555555556</v>
      </c>
      <c r="E11">
        <v>4</v>
      </c>
      <c r="F11">
        <v>0.4930555555555556</v>
      </c>
      <c r="G11">
        <v>4</v>
      </c>
      <c r="H11">
        <v>0.4930555555555556</v>
      </c>
      <c r="I11">
        <v>4</v>
      </c>
      <c r="J11">
        <v>0.4930555555555556</v>
      </c>
      <c r="K11">
        <v>4</v>
      </c>
      <c r="L11">
        <v>0.4930555555555556</v>
      </c>
      <c r="M11">
        <v>4</v>
      </c>
      <c r="N11">
        <v>0.4930555555555556</v>
      </c>
      <c r="P11" t="str">
        <v>×</v>
      </c>
      <c r="Q11" t="str">
        <v>まゆみっ子発表会</v>
      </c>
    </row>
    <row r="12">
      <c r="A12">
        <v>9</v>
      </c>
      <c r="B12" t="str">
        <v>日</v>
      </c>
    </row>
    <row r="13">
      <c r="A13">
        <v>10</v>
      </c>
      <c r="B13" t="str">
        <v>月</v>
      </c>
      <c r="Q13" t="str">
        <v>繰替休業日</v>
      </c>
    </row>
    <row r="14" xml:space="preserve">
      <c r="A14">
        <v>11</v>
      </c>
      <c r="B14" t="str">
        <v>火</v>
      </c>
      <c r="C14">
        <v>5</v>
      </c>
      <c r="D14">
        <v>0.6180555555555556</v>
      </c>
      <c r="E14">
        <v>5</v>
      </c>
      <c r="F14">
        <v>0.6180555555555556</v>
      </c>
      <c r="G14">
        <v>5</v>
      </c>
      <c r="H14">
        <v>0.6180555555555556</v>
      </c>
      <c r="I14">
        <v>5</v>
      </c>
      <c r="J14">
        <v>0.6180555555555556</v>
      </c>
      <c r="K14">
        <v>6</v>
      </c>
      <c r="L14">
        <v>0.6527777777777778</v>
      </c>
      <c r="M14">
        <v>6</v>
      </c>
      <c r="N14">
        <v>0.6527777777777778</v>
      </c>
      <c r="P14" t="str">
        <v>○</v>
      </c>
      <c r="Q14" t="str" xml:space="preserve">
        <v xml:space="preserve">【月・水・金日程】※口座振替日1_x000d_
電子図書館（学活1)①1-1②1-2③4年④3年⑤2年</v>
      </c>
    </row>
    <row r="15">
      <c r="A15">
        <v>12</v>
      </c>
      <c r="B15" t="str">
        <v>水</v>
      </c>
      <c r="C15">
        <v>4</v>
      </c>
      <c r="D15">
        <v>0.5694444444444444</v>
      </c>
      <c r="E15">
        <v>4</v>
      </c>
      <c r="F15">
        <v>0.5694444444444444</v>
      </c>
      <c r="G15">
        <v>4</v>
      </c>
      <c r="H15">
        <v>0.5694444444444444</v>
      </c>
      <c r="I15">
        <v>4</v>
      </c>
      <c r="J15">
        <v>0.5694444444444444</v>
      </c>
      <c r="K15">
        <v>5</v>
      </c>
      <c r="L15">
        <v>0.6006944444444444</v>
      </c>
      <c r="M15">
        <v>5</v>
      </c>
      <c r="N15">
        <v>0.6006944444444444</v>
      </c>
      <c r="P15" t="str">
        <v>○</v>
      </c>
      <c r="Q15" t="str">
        <v>【火・木日程】食に関する授業②③（６年：学1）</v>
      </c>
    </row>
    <row r="16">
      <c r="A16">
        <v>13</v>
      </c>
      <c r="B16" t="str">
        <v>木</v>
      </c>
      <c r="C16">
        <v>4</v>
      </c>
      <c r="D16">
        <v>0.5694444444444444</v>
      </c>
      <c r="E16">
        <v>5</v>
      </c>
      <c r="F16">
        <v>0.6006944444444444</v>
      </c>
      <c r="G16">
        <v>5</v>
      </c>
      <c r="H16">
        <v>0.6006944444444444</v>
      </c>
      <c r="I16">
        <v>6</v>
      </c>
      <c r="J16">
        <v>0.6354166666666666</v>
      </c>
      <c r="K16">
        <v>6</v>
      </c>
      <c r="L16">
        <v>0.6354166666666666</v>
      </c>
      <c r="M16">
        <v>6</v>
      </c>
      <c r="N16">
        <v>0.6354166666666666</v>
      </c>
      <c r="P16" t="str">
        <v>○</v>
      </c>
      <c r="Q16" t="str">
        <v>放射線教育②③（３年）</v>
      </c>
    </row>
    <row r="17">
      <c r="A17">
        <v>14</v>
      </c>
      <c r="B17" t="str">
        <v>金</v>
      </c>
      <c r="C17">
        <v>5</v>
      </c>
      <c r="D17">
        <v>0.6180555555555556</v>
      </c>
      <c r="E17">
        <v>5</v>
      </c>
      <c r="F17">
        <v>0.6180555555555556</v>
      </c>
      <c r="G17">
        <v>5</v>
      </c>
      <c r="H17">
        <v>0.6180555555555556</v>
      </c>
      <c r="I17">
        <v>5</v>
      </c>
      <c r="J17">
        <v>0.6458333333333334</v>
      </c>
      <c r="K17">
        <v>5</v>
      </c>
      <c r="L17">
        <v>0.6458333333333334</v>
      </c>
      <c r="M17">
        <v>5</v>
      </c>
      <c r="N17">
        <v>0.6458333333333334</v>
      </c>
      <c r="P17" t="str">
        <v>○</v>
      </c>
      <c r="Q17" t="str">
        <v>児童会活動日、放射線教育②③（４年）</v>
      </c>
    </row>
    <row r="18">
      <c r="A18">
        <v>15</v>
      </c>
      <c r="B18" t="str">
        <v>土</v>
      </c>
    </row>
    <row r="19">
      <c r="A19">
        <v>16</v>
      </c>
      <c r="B19" t="str">
        <v>日</v>
      </c>
    </row>
    <row r="20">
      <c r="A20">
        <v>17</v>
      </c>
      <c r="B20" t="str">
        <v>月</v>
      </c>
      <c r="C20">
        <v>5</v>
      </c>
      <c r="D20">
        <v>0.5833333333333334</v>
      </c>
      <c r="E20">
        <v>5</v>
      </c>
      <c r="F20">
        <v>0.5833333333333334</v>
      </c>
      <c r="G20">
        <v>5</v>
      </c>
      <c r="H20">
        <v>0.5833333333333334</v>
      </c>
      <c r="I20">
        <v>5</v>
      </c>
      <c r="J20">
        <v>0.5833333333333334</v>
      </c>
      <c r="K20">
        <v>5</v>
      </c>
      <c r="L20">
        <v>0.5833333333333334</v>
      </c>
      <c r="M20">
        <v>5</v>
      </c>
      <c r="N20">
        <v>0.5833333333333334</v>
      </c>
      <c r="O20" t="str">
        <v>短縮</v>
      </c>
      <c r="P20" t="str">
        <v>○</v>
      </c>
      <c r="Q20" t="str">
        <v>【短縮】職員会議、教育課程編成全体会１、本宮一中学校区交流会</v>
      </c>
    </row>
    <row r="21">
      <c r="A21">
        <v>18</v>
      </c>
      <c r="B21" t="str">
        <v>火</v>
      </c>
      <c r="C21">
        <v>5</v>
      </c>
      <c r="D21">
        <v>0.6006944444444444</v>
      </c>
      <c r="E21">
        <v>5</v>
      </c>
      <c r="F21">
        <v>0.6006944444444444</v>
      </c>
      <c r="G21">
        <v>5</v>
      </c>
      <c r="H21">
        <v>0.6006944444444444</v>
      </c>
      <c r="I21">
        <v>6</v>
      </c>
      <c r="J21">
        <v>0.6354166666666666</v>
      </c>
      <c r="K21">
        <v>6</v>
      </c>
      <c r="L21">
        <v>0.6354166666666666</v>
      </c>
      <c r="M21">
        <v>6</v>
      </c>
      <c r="N21">
        <v>0.6354166666666666</v>
      </c>
      <c r="P21" t="str">
        <v>○</v>
      </c>
      <c r="Q21" t="str">
        <v>クラブ活動（上：ク1）、放射線教育②③（５年）</v>
      </c>
    </row>
    <row r="22">
      <c r="A22">
        <v>19</v>
      </c>
      <c r="B22" t="str">
        <v>水</v>
      </c>
      <c r="C22">
        <v>4</v>
      </c>
      <c r="D22">
        <v>0.5</v>
      </c>
      <c r="E22">
        <v>4</v>
      </c>
      <c r="F22">
        <v>0.5</v>
      </c>
      <c r="G22">
        <v>4</v>
      </c>
      <c r="H22">
        <v>0.5</v>
      </c>
      <c r="I22">
        <v>4</v>
      </c>
      <c r="J22">
        <v>0.5</v>
      </c>
      <c r="K22">
        <v>4</v>
      </c>
      <c r="L22">
        <v>0.5</v>
      </c>
      <c r="M22">
        <v>4</v>
      </c>
      <c r="N22">
        <v>0.5</v>
      </c>
      <c r="O22" t="str">
        <v>短縮</v>
      </c>
      <c r="P22" t="str">
        <v>×</v>
      </c>
      <c r="Q22" t="str">
        <v>【短縮】小教研後期研究協議会</v>
      </c>
    </row>
    <row r="23">
      <c r="A23">
        <v>20</v>
      </c>
      <c r="B23" t="str">
        <v>木</v>
      </c>
      <c r="C23">
        <v>5</v>
      </c>
      <c r="D23">
        <v>0.6006944444444444</v>
      </c>
      <c r="E23">
        <v>5</v>
      </c>
      <c r="F23">
        <v>0.6006944444444444</v>
      </c>
      <c r="G23">
        <v>6</v>
      </c>
      <c r="H23">
        <v>0.6354166666666666</v>
      </c>
      <c r="I23">
        <v>6</v>
      </c>
      <c r="J23">
        <v>0.6354166666666666</v>
      </c>
      <c r="K23">
        <v>6</v>
      </c>
      <c r="L23">
        <v>0.6354166666666666</v>
      </c>
      <c r="M23">
        <v>6</v>
      </c>
      <c r="N23">
        <v>0.6354166666666666</v>
      </c>
      <c r="O23" t="str">
        <v>２校時まで短縮</v>
      </c>
      <c r="P23" t="str">
        <v>○</v>
      </c>
      <c r="Q23" t="str">
        <v>【２校時まで短縮】なかよし班交流タイム３（業間）、放射線教育②③（６年）</v>
      </c>
    </row>
    <row r="24" xml:space="preserve">
      <c r="A24">
        <v>21</v>
      </c>
      <c r="B24" t="str">
        <v>金</v>
      </c>
      <c r="C24">
        <v>4</v>
      </c>
      <c r="D24">
        <v>0.5416666666666666</v>
      </c>
      <c r="E24">
        <v>5</v>
      </c>
      <c r="F24">
        <v>0.5833333333333334</v>
      </c>
      <c r="G24">
        <v>5</v>
      </c>
      <c r="H24">
        <v>0.5833333333333334</v>
      </c>
      <c r="I24">
        <v>5</v>
      </c>
      <c r="J24">
        <v>0.5833333333333334</v>
      </c>
      <c r="K24">
        <v>5</v>
      </c>
      <c r="L24">
        <v>0.5833333333333334</v>
      </c>
      <c r="M24">
        <v>5</v>
      </c>
      <c r="N24">
        <v>0.5833333333333334</v>
      </c>
      <c r="O24" t="str">
        <v>短縮</v>
      </c>
      <c r="P24" t="str">
        <v>○</v>
      </c>
      <c r="Q24" t="str" xml:space="preserve">
        <v xml:space="preserve">【短】個別懇談1※１２月時間割提出_x000d_
まゆみっ子自学タイム(高)14:05～14:50</v>
      </c>
    </row>
    <row r="25">
      <c r="A25">
        <v>22</v>
      </c>
      <c r="B25" t="str">
        <v>土</v>
      </c>
    </row>
    <row r="26" xml:space="preserve">
      <c r="A26">
        <v>23</v>
      </c>
      <c r="B26" t="str">
        <v>日</v>
      </c>
      <c r="Q26" t="str" xml:space="preserve">
        <v xml:space="preserve">勤労感謝の日_x000d_
本宮市青少年健全育成推進大会</v>
      </c>
    </row>
    <row r="27">
      <c r="A27">
        <v>24</v>
      </c>
      <c r="B27" t="str">
        <v>月</v>
      </c>
      <c r="Q27" t="str">
        <v>振替休日</v>
      </c>
    </row>
    <row r="28" xml:space="preserve">
      <c r="A28">
        <v>25</v>
      </c>
      <c r="B28" t="str">
        <v>火</v>
      </c>
      <c r="C28">
        <v>4</v>
      </c>
      <c r="D28">
        <v>0.5694444444444444</v>
      </c>
      <c r="E28">
        <v>4</v>
      </c>
      <c r="F28">
        <v>0.5694444444444444</v>
      </c>
      <c r="G28">
        <v>5</v>
      </c>
      <c r="H28">
        <v>0.6006944444444444</v>
      </c>
      <c r="I28">
        <v>6</v>
      </c>
      <c r="J28">
        <v>0.6354166666666666</v>
      </c>
      <c r="K28">
        <v>6</v>
      </c>
      <c r="L28">
        <v>0.6354166666666666</v>
      </c>
      <c r="M28">
        <v>6</v>
      </c>
      <c r="N28">
        <v>0.6354166666666666</v>
      </c>
      <c r="P28" t="str">
        <v>○</v>
      </c>
      <c r="Q28" t="str" xml:space="preserve">
        <v xml:space="preserve">放射線教育②③(2年)、※口座振替日2_x000d_
まゆみっ子自学タイム(低)14:00～14:30</v>
      </c>
    </row>
    <row r="29" xml:space="preserve">
      <c r="A29">
        <v>26</v>
      </c>
      <c r="B29" t="str">
        <v>水</v>
      </c>
      <c r="C29">
        <v>4</v>
      </c>
      <c r="D29">
        <v>0.5416666666666666</v>
      </c>
      <c r="E29">
        <v>5</v>
      </c>
      <c r="F29">
        <v>0.5833333333333334</v>
      </c>
      <c r="G29">
        <v>5</v>
      </c>
      <c r="H29">
        <v>0.5833333333333334</v>
      </c>
      <c r="I29">
        <v>5</v>
      </c>
      <c r="J29">
        <v>0.5833333333333334</v>
      </c>
      <c r="K29">
        <v>5</v>
      </c>
      <c r="L29">
        <v>0.5833333333333334</v>
      </c>
      <c r="M29">
        <v>5</v>
      </c>
      <c r="N29">
        <v>0.5833333333333334</v>
      </c>
      <c r="O29" t="str">
        <v>短縮</v>
      </c>
      <c r="P29" t="str">
        <v>○</v>
      </c>
      <c r="Q29" t="str" xml:space="preserve">
        <v xml:space="preserve">【短】個別懇談2、放射線教育②③(1年)_x000d_
まゆみっ子自学タイム(中)14:05～14:50</v>
      </c>
    </row>
    <row r="30">
      <c r="A30">
        <v>27</v>
      </c>
      <c r="B30" t="str">
        <v>木</v>
      </c>
      <c r="C30">
        <v>4</v>
      </c>
      <c r="D30">
        <v>0.5416666666666666</v>
      </c>
      <c r="E30">
        <v>5</v>
      </c>
      <c r="F30">
        <v>0.5833333333333334</v>
      </c>
      <c r="G30">
        <v>5</v>
      </c>
      <c r="H30">
        <v>0.5833333333333334</v>
      </c>
      <c r="I30">
        <v>5</v>
      </c>
      <c r="J30">
        <v>0.5833333333333334</v>
      </c>
      <c r="K30">
        <v>5</v>
      </c>
      <c r="L30">
        <v>0.5833333333333334</v>
      </c>
      <c r="M30">
        <v>5</v>
      </c>
      <c r="N30">
        <v>0.5833333333333334</v>
      </c>
      <c r="O30" t="str">
        <v>短縮</v>
      </c>
      <c r="P30" t="str">
        <v>○</v>
      </c>
      <c r="Q30" t="str">
        <v>【短】個別懇談3</v>
      </c>
    </row>
    <row r="31" xml:space="preserve">
      <c r="A31">
        <v>28</v>
      </c>
      <c r="B31" t="str">
        <v>金</v>
      </c>
      <c r="C31">
        <v>4</v>
      </c>
      <c r="D31">
        <v>0.5416666666666666</v>
      </c>
      <c r="E31">
        <v>5</v>
      </c>
      <c r="F31">
        <v>0.5833333333333334</v>
      </c>
      <c r="G31">
        <v>5</v>
      </c>
      <c r="H31">
        <v>0.5833333333333334</v>
      </c>
      <c r="I31">
        <v>5</v>
      </c>
      <c r="J31">
        <v>0.5833333333333334</v>
      </c>
      <c r="K31">
        <v>5</v>
      </c>
      <c r="L31">
        <v>0.5833333333333334</v>
      </c>
      <c r="M31">
        <v>5</v>
      </c>
      <c r="N31">
        <v>0.5833333333333334</v>
      </c>
      <c r="O31" t="str">
        <v>短縮</v>
      </c>
      <c r="P31" t="str">
        <v>○</v>
      </c>
      <c r="Q31" t="str" xml:space="preserve">
        <v xml:space="preserve">【短】個別懇談4 ※月末統計_x000d_
まゆみっ子自学タイム(高)14:05～14:50</v>
      </c>
    </row>
    <row r="32">
      <c r="A32">
        <v>29</v>
      </c>
      <c r="B32" t="str">
        <v>土</v>
      </c>
    </row>
    <row r="33">
      <c r="A33">
        <v>30</v>
      </c>
      <c r="B33" t="str">
        <v>日</v>
      </c>
    </row>
    <row r="34" xml:space="preserve">
      <c r="A34" t="str">
        <v>今月の留意点</v>
      </c>
      <c r="B34" t="str" xml:space="preserve">
        <v xml:space="preserve">○都合により、１１月１２日を予定よりもー１時間とします。_x000d_
〇火・木４校時の下校時刻が間違っていました。修正しました。_x000d_
〇11/7(金)の下校時刻が間違っていました。修正しました。_x000d_
〇１・２年生が11/17(月)→５校時下校、11/25(火)→４校時下校に変更になっています。_x000d_
〇各学年、放射線教育が入ります。_x000d_
〇電子図書館に関する時間を学活１でお願いします。11/11(火)①1-1②1-2③４年④３年⑤２年。_x000d_
○「行事等」に「まゆみっ子自学タイム」を入れました。</v>
      </c>
    </row>
    <row r="35">
      <c r="B35">
        <f>F2</f>
        <v>11</v>
      </c>
      <c r="C35" t="str">
        <v>月</v>
      </c>
      <c r="D35" t="str">
        <v>実施時数予定</v>
      </c>
    </row>
    <row r="36">
      <c r="C36" t="str">
        <v>１年</v>
      </c>
      <c r="E36" t="str">
        <v>２年</v>
      </c>
      <c r="G36" t="str">
        <v>３年</v>
      </c>
      <c r="I36" t="str">
        <v>４年</v>
      </c>
      <c r="K36" t="str">
        <v>５年</v>
      </c>
      <c r="M36" t="str">
        <v>６年</v>
      </c>
      <c r="O36" t="str">
        <v>Ｍ時数</v>
      </c>
      <c r="P36" t="str">
        <v>食数</v>
      </c>
    </row>
    <row r="37">
      <c r="A37" t="str">
        <v>実施できる時数</v>
      </c>
      <c r="C37">
        <f>SUM(C4:C33)+O37</f>
        <v>80</v>
      </c>
      <c r="E37">
        <f>SUM(E4:E33)+O37</f>
        <v>86</v>
      </c>
      <c r="G37">
        <f>SUM(G4:G33)+O37</f>
        <v>89</v>
      </c>
      <c r="I37">
        <f>SUM(I4:I33)+O37</f>
        <v>94</v>
      </c>
      <c r="K37">
        <f>SUM(K4:K33)+O37</f>
        <v>96</v>
      </c>
      <c r="M37">
        <f>SUM(M4:M33)+O37</f>
        <v>96</v>
      </c>
      <c r="P37">
        <f>COUNTIF(P3:P33,"○")</f>
        <v>16</v>
      </c>
    </row>
    <row r="38">
      <c r="A38" t="str">
        <v>計画された時数</v>
      </c>
      <c r="C38">
        <v>81</v>
      </c>
      <c r="E38">
        <v>87</v>
      </c>
      <c r="G38">
        <v>90</v>
      </c>
      <c r="I38">
        <v>94</v>
      </c>
      <c r="K38">
        <v>96</v>
      </c>
      <c r="M38">
        <v>97</v>
      </c>
    </row>
    <row r="39">
      <c r="A39" t="str">
        <v>10月余剰時数</v>
      </c>
      <c r="C39">
        <f>C37-C38</f>
        <v>-1</v>
      </c>
      <c r="E39">
        <f>E37-E38</f>
        <v>-1</v>
      </c>
      <c r="G39">
        <f>G37-G38</f>
        <v>-1</v>
      </c>
      <c r="I39">
        <f>I37-I38</f>
        <v>0</v>
      </c>
      <c r="K39">
        <f>K37-K38</f>
        <v>0</v>
      </c>
      <c r="M39">
        <f>M37-M38</f>
        <v>-1</v>
      </c>
    </row>
    <row r="41">
      <c r="A41" t="str">
        <v>11月余剰時数</v>
      </c>
      <c r="C41">
        <f>C39-C40</f>
        <v>-1</v>
      </c>
      <c r="E41">
        <f>E39-E40</f>
        <v>-1</v>
      </c>
      <c r="G41">
        <f>G39-G40</f>
        <v>-1</v>
      </c>
      <c r="I41">
        <f>I39-I40</f>
        <v>0</v>
      </c>
      <c r="K41">
        <f>K39-K40</f>
        <v>0</v>
      </c>
      <c r="M41">
        <f>M39-M40</f>
        <v>-1</v>
      </c>
    </row>
  </sheetData>
  <mergeCells count="53">
    <mergeCell ref="A1:Q1"/>
    <mergeCell ref="A2:D2"/>
    <mergeCell ref="H2:P2"/>
    <mergeCell ref="C3:D3"/>
    <mergeCell ref="E3:F3"/>
    <mergeCell ref="G3:H3"/>
    <mergeCell ref="I3:J3"/>
    <mergeCell ref="K3:L3"/>
    <mergeCell ref="M3:N3"/>
    <mergeCell ref="B34:Q34"/>
    <mergeCell ref="D35:G35"/>
    <mergeCell ref="A36:B36"/>
    <mergeCell ref="C36:D36"/>
    <mergeCell ref="E36:F36"/>
    <mergeCell ref="G36:H36"/>
    <mergeCell ref="I36:J36"/>
    <mergeCell ref="K36:L36"/>
    <mergeCell ref="M36:N36"/>
    <mergeCell ref="M37:N37"/>
    <mergeCell ref="A38:B38"/>
    <mergeCell ref="C38:D38"/>
    <mergeCell ref="E38:F38"/>
    <mergeCell ref="G38:H38"/>
    <mergeCell ref="I38:J38"/>
    <mergeCell ref="K38:L38"/>
    <mergeCell ref="M38:N38"/>
    <mergeCell ref="A37:B37"/>
    <mergeCell ref="C37:D37"/>
    <mergeCell ref="E37:F37"/>
    <mergeCell ref="G37:H37"/>
    <mergeCell ref="I37:J37"/>
    <mergeCell ref="K37:L37"/>
    <mergeCell ref="M39:N39"/>
    <mergeCell ref="A41:B41"/>
    <mergeCell ref="C41:D41"/>
    <mergeCell ref="E41:F41"/>
    <mergeCell ref="G41:H41"/>
    <mergeCell ref="I41:J41"/>
    <mergeCell ref="K41:L41"/>
    <mergeCell ref="M41:N41"/>
    <mergeCell ref="A39:B39"/>
    <mergeCell ref="C39:D39"/>
    <mergeCell ref="E39:F39"/>
    <mergeCell ref="G39:H39"/>
    <mergeCell ref="I39:J39"/>
    <mergeCell ref="K39:L39"/>
    <mergeCell ref="M42:N42"/>
    <mergeCell ref="A42:B42"/>
    <mergeCell ref="C42:D42"/>
    <mergeCell ref="E42:F42"/>
    <mergeCell ref="G42:H42"/>
    <mergeCell ref="I42:J42"/>
    <mergeCell ref="K42:L42"/>
  </mergeCells>
  <pageMargins left="0.31496062992125984" right="0.31496062992125984" top="0.3937007874015748" bottom="0.3937007874015748" header="0.31496062992125984" footer="0.31496062992125984"/>
  <ignoredErrors>
    <ignoredError numberStoredAsText="1" sqref="A1:S42"/>
  </ignoredErrors>
</worksheet>
</file>

<file path=xl/worksheets/sheet22.xml><?xml version="1.0" encoding="utf-8"?>
<worksheet xmlns="http://schemas.openxmlformats.org/spreadsheetml/2006/main" xmlns:r="http://schemas.openxmlformats.org/officeDocument/2006/relationships">
  <dimension ref="A1:Q42"/>
  <sheetViews>
    <sheetView workbookViewId="0" rightToLeft="0"/>
  </sheetViews>
  <sheetData>
    <row r="2">
      <c r="A2" t="str">
        <v>令和８年度</v>
      </c>
      <c r="F2">
        <v>12</v>
      </c>
      <c r="G2" t="str">
        <v>月</v>
      </c>
      <c r="H2" t="str">
        <v>授業時数･下校予定時刻一覧表</v>
      </c>
      <c r="Q2" t="str">
        <v>本宮市立本宮まゆみ小学校</v>
      </c>
    </row>
    <row r="3">
      <c r="A3" t="str">
        <v>日</v>
      </c>
      <c r="B3" t="str">
        <v>曜</v>
      </c>
      <c r="C3" t="str">
        <v>１学年</v>
      </c>
      <c r="E3" t="str">
        <v>２学年</v>
      </c>
      <c r="G3" t="str">
        <v>３学年</v>
      </c>
      <c r="I3" t="str">
        <v>４学年</v>
      </c>
      <c r="K3" t="str">
        <v>５学年</v>
      </c>
      <c r="M3" t="str">
        <v>６学年</v>
      </c>
      <c r="O3" t="str">
        <v>特別日程</v>
      </c>
      <c r="P3" t="str">
        <v>給食</v>
      </c>
      <c r="Q3" t="str">
        <v>行　　事　　等</v>
      </c>
    </row>
    <row r="4">
      <c r="A4">
        <v>1</v>
      </c>
      <c r="B4" t="str">
        <v>火</v>
      </c>
      <c r="C4">
        <v>4</v>
      </c>
      <c r="D4">
        <v>0.5416666666666666</v>
      </c>
      <c r="E4">
        <v>5</v>
      </c>
      <c r="F4">
        <v>0.5833333333333334</v>
      </c>
      <c r="G4">
        <v>5</v>
      </c>
      <c r="H4">
        <v>0.5833333333333334</v>
      </c>
      <c r="I4">
        <v>5</v>
      </c>
      <c r="J4">
        <v>0.5833333333333334</v>
      </c>
      <c r="K4">
        <v>5</v>
      </c>
      <c r="L4">
        <v>0.5833333333333334</v>
      </c>
      <c r="M4">
        <v>5</v>
      </c>
      <c r="N4">
        <v>0.5833333333333334</v>
      </c>
      <c r="O4" t="str">
        <v>短縮</v>
      </c>
      <c r="P4" t="str">
        <v>○</v>
      </c>
      <c r="Q4" t="str">
        <v>【短】個別懇談予備日、安全点検、防火診断2</v>
      </c>
    </row>
    <row r="5">
      <c r="A5">
        <v>2</v>
      </c>
      <c r="B5" t="str">
        <v>水</v>
      </c>
      <c r="C5">
        <v>5</v>
      </c>
      <c r="D5">
        <v>0.6180555555555556</v>
      </c>
      <c r="E5">
        <v>5</v>
      </c>
      <c r="F5">
        <v>0.6180555555555556</v>
      </c>
      <c r="G5">
        <v>6</v>
      </c>
      <c r="H5">
        <v>0.6527777777777778</v>
      </c>
      <c r="I5">
        <v>6</v>
      </c>
      <c r="J5">
        <v>0.6527777777777778</v>
      </c>
      <c r="K5">
        <v>6</v>
      </c>
      <c r="L5">
        <v>0.6527777777777778</v>
      </c>
      <c r="M5">
        <v>6</v>
      </c>
      <c r="N5">
        <v>0.6527777777777778</v>
      </c>
      <c r="P5" t="str">
        <v>○</v>
      </c>
      <c r="Q5" t="str">
        <v>出張お話し会①③1年(和室)、モトム号</v>
      </c>
    </row>
    <row r="6">
      <c r="A6">
        <v>3</v>
      </c>
      <c r="B6" t="str">
        <v>木</v>
      </c>
      <c r="C6">
        <v>4</v>
      </c>
      <c r="D6">
        <v>0.5694444444444444</v>
      </c>
      <c r="E6">
        <v>5</v>
      </c>
      <c r="F6">
        <v>0.6006944444444444</v>
      </c>
      <c r="G6">
        <v>6</v>
      </c>
      <c r="H6">
        <v>0.6354166666666666</v>
      </c>
      <c r="I6">
        <v>6</v>
      </c>
      <c r="J6">
        <v>0.6354166666666666</v>
      </c>
      <c r="K6">
        <v>6</v>
      </c>
      <c r="L6">
        <v>0.6354166666666666</v>
      </c>
      <c r="M6">
        <v>6</v>
      </c>
      <c r="N6">
        <v>0.6354166666666666</v>
      </c>
      <c r="P6" t="str">
        <v>○</v>
      </c>
    </row>
    <row r="7">
      <c r="A7">
        <v>4</v>
      </c>
      <c r="B7" t="str">
        <v>金</v>
      </c>
      <c r="C7">
        <v>5</v>
      </c>
      <c r="D7">
        <v>0.6180555555555556</v>
      </c>
      <c r="E7">
        <v>5</v>
      </c>
      <c r="F7">
        <v>0.6180555555555556</v>
      </c>
      <c r="G7">
        <v>5</v>
      </c>
      <c r="H7">
        <v>0.6180555555555556</v>
      </c>
      <c r="I7">
        <v>5</v>
      </c>
      <c r="J7">
        <v>0.6180555555555556</v>
      </c>
      <c r="K7">
        <v>5</v>
      </c>
      <c r="L7">
        <v>0.6180555555555556</v>
      </c>
      <c r="M7">
        <v>6</v>
      </c>
      <c r="N7">
        <v>0.6180555555555556</v>
      </c>
      <c r="P7" t="str">
        <v>○</v>
      </c>
      <c r="Q7" t="str">
        <v>※11月月案反省提出</v>
      </c>
    </row>
    <row r="8">
      <c r="A8">
        <v>5</v>
      </c>
      <c r="B8" t="str">
        <v>土</v>
      </c>
    </row>
    <row r="9">
      <c r="A9">
        <v>6</v>
      </c>
      <c r="B9" t="str">
        <v>日</v>
      </c>
    </row>
    <row r="10">
      <c r="A10">
        <v>7</v>
      </c>
      <c r="B10" t="str">
        <v>月</v>
      </c>
      <c r="C10">
        <v>4</v>
      </c>
      <c r="D10">
        <v>0.5868055555555556</v>
      </c>
      <c r="E10">
        <v>4</v>
      </c>
      <c r="F10">
        <v>0.5868055555555556</v>
      </c>
      <c r="G10">
        <v>5</v>
      </c>
      <c r="H10">
        <v>0.6180555555555556</v>
      </c>
      <c r="I10">
        <v>5</v>
      </c>
      <c r="J10">
        <v>0.6180555555555556</v>
      </c>
      <c r="K10">
        <v>5</v>
      </c>
      <c r="L10">
        <v>0.6180555555555556</v>
      </c>
      <c r="M10">
        <v>5</v>
      </c>
      <c r="N10">
        <v>0.6180555555555556</v>
      </c>
      <c r="P10" t="str">
        <v>○</v>
      </c>
      <c r="Q10" t="str">
        <v>生徒指導・現職教育委員会、ドリーム文庫回収</v>
      </c>
    </row>
    <row r="11">
      <c r="A11">
        <v>8</v>
      </c>
      <c r="B11" t="str">
        <v>火</v>
      </c>
      <c r="C11">
        <v>5</v>
      </c>
      <c r="D11">
        <v>0.6006944444444444</v>
      </c>
      <c r="E11">
        <v>5</v>
      </c>
      <c r="F11">
        <v>0.6006944444444444</v>
      </c>
      <c r="G11">
        <v>5</v>
      </c>
      <c r="H11">
        <v>0.6006944444444444</v>
      </c>
      <c r="I11">
        <v>6</v>
      </c>
      <c r="J11">
        <v>0.6354166666666666</v>
      </c>
      <c r="K11">
        <v>6</v>
      </c>
      <c r="L11">
        <v>0.6354166666666666</v>
      </c>
      <c r="M11">
        <v>6</v>
      </c>
      <c r="N11">
        <v>0.6354166666666666</v>
      </c>
      <c r="P11" t="str">
        <v>○</v>
      </c>
      <c r="Q11" t="str">
        <v>児童会委員会⑥(上:児1)</v>
      </c>
    </row>
    <row r="12">
      <c r="A12">
        <v>9</v>
      </c>
      <c r="B12" t="str">
        <v>水</v>
      </c>
      <c r="C12">
        <v>5</v>
      </c>
      <c r="D12">
        <v>0.6180555555555556</v>
      </c>
      <c r="E12">
        <v>5</v>
      </c>
      <c r="F12">
        <v>0.6180555555555556</v>
      </c>
      <c r="G12">
        <v>6</v>
      </c>
      <c r="H12">
        <v>0.6527777777777778</v>
      </c>
      <c r="I12">
        <v>6</v>
      </c>
      <c r="J12">
        <v>0.6527777777777778</v>
      </c>
      <c r="K12">
        <v>6</v>
      </c>
      <c r="L12">
        <v>0.6527777777777778</v>
      </c>
      <c r="M12">
        <v>6</v>
      </c>
      <c r="N12">
        <v>0.6527777777777778</v>
      </c>
      <c r="P12" t="str">
        <v>○</v>
      </c>
    </row>
    <row r="13">
      <c r="A13">
        <v>10</v>
      </c>
      <c r="B13" t="str">
        <v>木</v>
      </c>
      <c r="C13">
        <v>4</v>
      </c>
      <c r="D13">
        <v>0.5694444444444444</v>
      </c>
      <c r="E13">
        <v>5</v>
      </c>
      <c r="F13">
        <v>0.6006944444444444</v>
      </c>
      <c r="G13">
        <v>6</v>
      </c>
      <c r="H13">
        <v>0.6354166666666666</v>
      </c>
      <c r="I13">
        <v>6</v>
      </c>
      <c r="J13">
        <v>0.6354166666666666</v>
      </c>
      <c r="K13">
        <v>6</v>
      </c>
      <c r="L13">
        <v>0.6354166666666666</v>
      </c>
      <c r="M13">
        <v>6</v>
      </c>
      <c r="N13">
        <v>0.6354166666666666</v>
      </c>
      <c r="P13" t="str">
        <v>○</v>
      </c>
      <c r="Q13" t="str">
        <v>※口座振替日1</v>
      </c>
    </row>
    <row r="14" xml:space="preserve">
      <c r="A14">
        <v>11</v>
      </c>
      <c r="B14" t="str">
        <v>金</v>
      </c>
      <c r="C14">
        <v>5</v>
      </c>
      <c r="D14">
        <v>0.5833333333333334</v>
      </c>
      <c r="E14">
        <v>5</v>
      </c>
      <c r="F14">
        <v>0.5833333333333334</v>
      </c>
      <c r="G14">
        <v>5</v>
      </c>
      <c r="H14">
        <v>0.5833333333333334</v>
      </c>
      <c r="I14">
        <v>5</v>
      </c>
      <c r="J14">
        <v>0.5833333333333334</v>
      </c>
      <c r="K14">
        <v>5</v>
      </c>
      <c r="L14">
        <v>0.5833333333333334</v>
      </c>
      <c r="M14">
        <v>5</v>
      </c>
      <c r="N14">
        <v>0.5833333333333334</v>
      </c>
      <c r="O14" t="str">
        <v>短縮</v>
      </c>
      <c r="P14" t="str">
        <v>○</v>
      </c>
      <c r="Q14" t="str" xml:space="preserve">
        <v xml:space="preserve">【短】授業参観、学年学級懇談会_x000d_
◇PTA本部役員会5</v>
      </c>
    </row>
    <row r="15">
      <c r="A15">
        <v>12</v>
      </c>
      <c r="B15" t="str">
        <v>土</v>
      </c>
    </row>
    <row r="16">
      <c r="A16">
        <v>13</v>
      </c>
      <c r="B16" t="str">
        <v>日</v>
      </c>
    </row>
    <row r="17">
      <c r="A17">
        <v>14</v>
      </c>
      <c r="B17" t="str">
        <v>月</v>
      </c>
      <c r="C17">
        <v>4</v>
      </c>
      <c r="D17">
        <v>0.5868055555555556</v>
      </c>
      <c r="E17">
        <v>4</v>
      </c>
      <c r="F17">
        <v>0.5868055555555556</v>
      </c>
      <c r="G17">
        <v>5</v>
      </c>
      <c r="H17">
        <v>0.6180555555555556</v>
      </c>
      <c r="I17">
        <v>5</v>
      </c>
      <c r="J17">
        <v>0.6180555555555556</v>
      </c>
      <c r="K17">
        <v>5</v>
      </c>
      <c r="L17">
        <v>0.6180555555555556</v>
      </c>
      <c r="M17">
        <v>5</v>
      </c>
      <c r="N17">
        <v>0.6180555555555556</v>
      </c>
      <c r="P17" t="str">
        <v>○</v>
      </c>
      <c r="Q17" t="str">
        <v>ドリーム文庫配本</v>
      </c>
    </row>
    <row r="18">
      <c r="A18">
        <v>15</v>
      </c>
      <c r="B18" t="str">
        <v>火</v>
      </c>
      <c r="C18">
        <v>5</v>
      </c>
      <c r="D18">
        <v>0.6006944444444444</v>
      </c>
      <c r="E18">
        <v>5</v>
      </c>
      <c r="F18">
        <v>0.6006944444444444</v>
      </c>
      <c r="G18">
        <v>5</v>
      </c>
      <c r="H18">
        <v>0.6006944444444444</v>
      </c>
      <c r="I18">
        <v>6</v>
      </c>
      <c r="J18">
        <v>0.6354166666666666</v>
      </c>
      <c r="K18">
        <v>6</v>
      </c>
      <c r="L18">
        <v>0.6354166666666666</v>
      </c>
      <c r="M18">
        <v>6</v>
      </c>
      <c r="N18">
        <v>0.6354166666666666</v>
      </c>
      <c r="P18" t="str">
        <v>○</v>
      </c>
    </row>
    <row r="19">
      <c r="A19">
        <v>16</v>
      </c>
      <c r="B19" t="str">
        <v>水</v>
      </c>
      <c r="C19">
        <v>5</v>
      </c>
      <c r="D19">
        <v>0.6180555555555556</v>
      </c>
      <c r="E19">
        <v>5</v>
      </c>
      <c r="F19">
        <v>0.6180555555555556</v>
      </c>
      <c r="G19">
        <v>6</v>
      </c>
      <c r="H19">
        <v>0.6527777777777778</v>
      </c>
      <c r="I19">
        <v>6</v>
      </c>
      <c r="J19">
        <v>0.6527777777777778</v>
      </c>
      <c r="K19">
        <v>6</v>
      </c>
      <c r="L19">
        <v>0.6527777777777778</v>
      </c>
      <c r="M19">
        <v>6</v>
      </c>
      <c r="N19">
        <v>0.6527777777777778</v>
      </c>
      <c r="P19" t="str">
        <v>○</v>
      </c>
    </row>
    <row r="20">
      <c r="A20">
        <v>17</v>
      </c>
      <c r="B20" t="str">
        <v>木</v>
      </c>
      <c r="C20">
        <v>4</v>
      </c>
      <c r="D20">
        <v>0.5694444444444444</v>
      </c>
      <c r="E20">
        <v>5</v>
      </c>
      <c r="F20">
        <v>0.6006944444444444</v>
      </c>
      <c r="G20">
        <v>6</v>
      </c>
      <c r="H20">
        <v>0.6354166666666666</v>
      </c>
      <c r="I20">
        <v>6</v>
      </c>
      <c r="J20">
        <v>0.6354166666666666</v>
      </c>
      <c r="K20">
        <v>6</v>
      </c>
      <c r="L20">
        <v>0.6354166666666666</v>
      </c>
      <c r="M20">
        <v>6</v>
      </c>
      <c r="N20">
        <v>0.6354166666666666</v>
      </c>
      <c r="P20" t="str">
        <v>○</v>
      </c>
    </row>
    <row r="21">
      <c r="A21">
        <v>18</v>
      </c>
      <c r="B21" t="str">
        <v>金</v>
      </c>
      <c r="C21">
        <v>5</v>
      </c>
      <c r="D21">
        <v>0.6180555555555556</v>
      </c>
      <c r="E21">
        <v>5</v>
      </c>
      <c r="F21">
        <v>0.6180555555555556</v>
      </c>
      <c r="G21">
        <v>5</v>
      </c>
      <c r="H21">
        <v>0.6180555555555556</v>
      </c>
      <c r="I21">
        <v>5</v>
      </c>
      <c r="J21">
        <v>0.6180555555555556</v>
      </c>
      <c r="K21">
        <v>5</v>
      </c>
      <c r="L21">
        <v>0.6180555555555556</v>
      </c>
      <c r="M21">
        <v>5</v>
      </c>
      <c r="N21">
        <v>0.6180555555555556</v>
      </c>
      <c r="P21" t="str">
        <v>○</v>
      </c>
      <c r="Q21" t="str">
        <v>第2回校内美化活動⑤(全:行1)</v>
      </c>
    </row>
    <row r="22">
      <c r="A22">
        <v>19</v>
      </c>
      <c r="B22" t="str">
        <v>土</v>
      </c>
    </row>
    <row r="23">
      <c r="A23">
        <v>20</v>
      </c>
      <c r="B23" t="str">
        <v>日</v>
      </c>
    </row>
    <row r="24">
      <c r="A24">
        <v>21</v>
      </c>
      <c r="B24" t="str">
        <v>月</v>
      </c>
      <c r="C24">
        <v>4</v>
      </c>
      <c r="D24">
        <v>0.5868055555555556</v>
      </c>
      <c r="E24">
        <v>4</v>
      </c>
      <c r="F24">
        <v>0.5868055555555556</v>
      </c>
      <c r="G24">
        <v>5</v>
      </c>
      <c r="H24">
        <v>0.6180555555555556</v>
      </c>
      <c r="I24">
        <v>5</v>
      </c>
      <c r="J24">
        <v>0.6180555555555556</v>
      </c>
      <c r="K24">
        <v>5</v>
      </c>
      <c r="L24">
        <v>0.6180555555555556</v>
      </c>
      <c r="M24">
        <v>5</v>
      </c>
      <c r="N24">
        <v>0.6180555555555556</v>
      </c>
      <c r="P24" t="str">
        <v>○</v>
      </c>
    </row>
    <row r="25">
      <c r="A25">
        <v>22</v>
      </c>
      <c r="B25" t="str">
        <v>火</v>
      </c>
      <c r="C25">
        <v>5</v>
      </c>
      <c r="D25">
        <v>0.6006944444444444</v>
      </c>
      <c r="E25">
        <v>5</v>
      </c>
      <c r="F25">
        <v>0.6006944444444444</v>
      </c>
      <c r="G25">
        <v>5</v>
      </c>
      <c r="H25">
        <v>0.6006944444444444</v>
      </c>
      <c r="I25">
        <v>5</v>
      </c>
      <c r="J25">
        <v>0.6006944444444444</v>
      </c>
      <c r="K25">
        <v>5</v>
      </c>
      <c r="L25">
        <v>0.6006944444444444</v>
      </c>
      <c r="M25">
        <v>6</v>
      </c>
      <c r="N25">
        <v>0.6354166666666666</v>
      </c>
      <c r="P25" t="str">
        <v>○</v>
      </c>
    </row>
    <row r="26">
      <c r="A26">
        <v>23</v>
      </c>
      <c r="B26" t="str">
        <v>水</v>
      </c>
      <c r="C26">
        <v>4</v>
      </c>
      <c r="D26">
        <v>0.5</v>
      </c>
      <c r="E26">
        <v>4</v>
      </c>
      <c r="F26">
        <v>0.5</v>
      </c>
      <c r="G26">
        <v>4</v>
      </c>
      <c r="H26">
        <v>0.5</v>
      </c>
      <c r="I26">
        <v>4</v>
      </c>
      <c r="J26">
        <v>0.5</v>
      </c>
      <c r="K26">
        <v>4</v>
      </c>
      <c r="L26">
        <v>0.5</v>
      </c>
      <c r="M26">
        <v>4</v>
      </c>
      <c r="N26">
        <v>0.5</v>
      </c>
      <c r="O26" t="str">
        <v>短縮</v>
      </c>
      <c r="P26" t="str">
        <v>×</v>
      </c>
      <c r="Q26" t="str">
        <v>【短】第2学期終業式(全:行1)、職員会議、教育課程編成全体会2、行事・日課表・時数検討委員会1※月末・学期末統計</v>
      </c>
    </row>
    <row r="27">
      <c r="A27">
        <v>24</v>
      </c>
      <c r="B27" t="str">
        <v>木</v>
      </c>
      <c r="Q27" t="str">
        <v>冬季休業日</v>
      </c>
    </row>
    <row r="28">
      <c r="A28">
        <v>25</v>
      </c>
      <c r="B28" t="str">
        <v>金</v>
      </c>
      <c r="Q28" t="str">
        <v>※口座振替日2、諸表簿提出、1月時間割提出</v>
      </c>
    </row>
    <row r="29">
      <c r="A29">
        <v>26</v>
      </c>
      <c r="B29" t="str">
        <v>土</v>
      </c>
    </row>
    <row r="30">
      <c r="A30">
        <v>27</v>
      </c>
      <c r="B30" t="str">
        <v>日</v>
      </c>
    </row>
    <row r="31">
      <c r="A31">
        <v>28</v>
      </c>
      <c r="B31" t="str">
        <v>月</v>
      </c>
      <c r="Q31" t="str">
        <v>仕事納め</v>
      </c>
    </row>
    <row r="32">
      <c r="A32">
        <v>29</v>
      </c>
      <c r="B32" t="str">
        <v>火</v>
      </c>
      <c r="Q32" t="str">
        <v>空直日</v>
      </c>
    </row>
    <row r="33">
      <c r="A33">
        <v>30</v>
      </c>
      <c r="B33" t="str">
        <v>水</v>
      </c>
      <c r="Q33" t="str">
        <v>空直日</v>
      </c>
    </row>
    <row r="34">
      <c r="A34">
        <v>31</v>
      </c>
      <c r="B34" t="str">
        <v>木</v>
      </c>
      <c r="Q34" t="str">
        <v>大晦日、空直日</v>
      </c>
    </row>
    <row r="35" xml:space="preserve">
      <c r="A35" t="str" xml:space="preserve">
        <v xml:space="preserve">今月の_x000d_
留意点</v>
      </c>
    </row>
    <row r="36">
      <c r="B36">
        <f>F2</f>
        <v>12</v>
      </c>
      <c r="C36" t="str">
        <v>月</v>
      </c>
      <c r="D36" t="str">
        <v>実施時数予定</v>
      </c>
    </row>
    <row r="37">
      <c r="C37" t="str">
        <v>1年</v>
      </c>
      <c r="E37" t="str">
        <v>２年</v>
      </c>
      <c r="G37" t="str">
        <v>３年</v>
      </c>
      <c r="I37" t="str">
        <v>４年</v>
      </c>
      <c r="K37" t="str">
        <v>５年</v>
      </c>
      <c r="M37" t="str">
        <v>６年</v>
      </c>
      <c r="O37" t="str">
        <v>Ｍ時数</v>
      </c>
      <c r="P37" t="str">
        <v>食数</v>
      </c>
    </row>
    <row r="38">
      <c r="A38" t="str">
        <v>実施できる時数</v>
      </c>
      <c r="C38">
        <f>SUM(C4:C34)+O38</f>
        <v>77</v>
      </c>
      <c r="E38">
        <f>SUM(E4:E34)+O38</f>
        <v>81</v>
      </c>
      <c r="G38">
        <f>SUM(G4:G34)+O38</f>
        <v>90</v>
      </c>
      <c r="I38">
        <f>SUM(I4:I34)+O38</f>
        <v>92</v>
      </c>
      <c r="K38">
        <f>SUM(K4:K34)+O38</f>
        <v>92</v>
      </c>
      <c r="M38">
        <f>SUM(M4:M34)+O38</f>
        <v>94</v>
      </c>
      <c r="P38">
        <f>COUNTIF(P4:P34,"○")</f>
        <v>16</v>
      </c>
    </row>
    <row r="39">
      <c r="A39" t="str">
        <v>計画された時数</v>
      </c>
      <c r="C39">
        <v>77</v>
      </c>
      <c r="E39">
        <v>81</v>
      </c>
      <c r="G39">
        <v>86</v>
      </c>
      <c r="I39">
        <v>90</v>
      </c>
      <c r="K39">
        <v>89</v>
      </c>
      <c r="M39">
        <v>92</v>
      </c>
    </row>
    <row r="40">
      <c r="A40" t="str">
        <v>12月余剰時数</v>
      </c>
      <c r="C40">
        <f>C38-C39</f>
        <v>0</v>
      </c>
      <c r="E40">
        <f>E38-E39</f>
        <v>0</v>
      </c>
      <c r="G40">
        <f>G38-G39</f>
        <v>4</v>
      </c>
      <c r="I40">
        <f>I38-I39</f>
        <v>2</v>
      </c>
      <c r="K40">
        <f>K38-K39</f>
        <v>3</v>
      </c>
      <c r="M40">
        <f>M38-M39</f>
        <v>2</v>
      </c>
    </row>
    <row r="41">
      <c r="Q41">
        <v>3</v>
      </c>
    </row>
  </sheetData>
  <mergeCells count="40">
    <mergeCell ref="M39:N39"/>
    <mergeCell ref="K40:L40"/>
    <mergeCell ref="M40:N40"/>
    <mergeCell ref="K39:L39"/>
    <mergeCell ref="A1:D1"/>
    <mergeCell ref="C3:D3"/>
    <mergeCell ref="E3:F3"/>
    <mergeCell ref="G3:H3"/>
    <mergeCell ref="I3:J3"/>
    <mergeCell ref="K3:L3"/>
    <mergeCell ref="B35:Q35"/>
    <mergeCell ref="D36:G36"/>
    <mergeCell ref="A38:B38"/>
    <mergeCell ref="C38:D38"/>
    <mergeCell ref="E38:F38"/>
    <mergeCell ref="G38:H38"/>
    <mergeCell ref="P1:Q1"/>
    <mergeCell ref="A2:D2"/>
    <mergeCell ref="H2:O2"/>
    <mergeCell ref="A40:B40"/>
    <mergeCell ref="C40:D40"/>
    <mergeCell ref="E40:F40"/>
    <mergeCell ref="G40:H40"/>
    <mergeCell ref="I40:J40"/>
    <mergeCell ref="A39:B39"/>
    <mergeCell ref="C39:D39"/>
    <mergeCell ref="E39:F39"/>
    <mergeCell ref="G39:H39"/>
    <mergeCell ref="I39:J39"/>
    <mergeCell ref="I37:J37"/>
    <mergeCell ref="K37:L37"/>
    <mergeCell ref="M3:N3"/>
    <mergeCell ref="I38:J38"/>
    <mergeCell ref="K38:L38"/>
    <mergeCell ref="M38:N38"/>
    <mergeCell ref="A37:B37"/>
    <mergeCell ref="C37:D37"/>
    <mergeCell ref="E37:F37"/>
    <mergeCell ref="G37:H37"/>
    <mergeCell ref="M37:N37"/>
  </mergeCells>
  <pageMargins left="0.4724409448818898" right="0.4724409448818898" top="0.3937007874015748" bottom="0.3937007874015748" header="0.31496062992125984" footer="0.31496062992125984"/>
  <ignoredErrors>
    <ignoredError numberStoredAsText="1" sqref="A1:Q42"/>
  </ignoredErrors>
</worksheet>
</file>

<file path=xl/worksheets/sheet23.xml><?xml version="1.0" encoding="utf-8"?>
<worksheet xmlns="http://schemas.openxmlformats.org/spreadsheetml/2006/main" xmlns:r="http://schemas.openxmlformats.org/officeDocument/2006/relationships">
  <dimension ref="A1:Q42"/>
  <sheetViews>
    <sheetView workbookViewId="0" rightToLeft="0"/>
  </sheetViews>
  <sheetData>
    <row r="2">
      <c r="A2" t="str">
        <v>令和7年度</v>
      </c>
      <c r="F2">
        <v>12</v>
      </c>
      <c r="G2" t="str">
        <v>月</v>
      </c>
      <c r="H2" t="str">
        <v>授業時数･下校予定時刻一覧表(11/21版)</v>
      </c>
      <c r="Q2" t="str">
        <v>本宮市立本宮まゆみ小学校</v>
      </c>
    </row>
    <row r="3">
      <c r="A3" t="str">
        <v>日</v>
      </c>
      <c r="B3" t="str">
        <v>曜</v>
      </c>
      <c r="C3" t="str">
        <v>１学年</v>
      </c>
      <c r="E3" t="str">
        <v>２学年</v>
      </c>
      <c r="G3" t="str">
        <v>３学年</v>
      </c>
      <c r="I3" t="str">
        <v>４学年</v>
      </c>
      <c r="K3" t="str">
        <v>５学年</v>
      </c>
      <c r="M3" t="str">
        <v>６学年</v>
      </c>
      <c r="O3" t="str">
        <v>特別日程</v>
      </c>
      <c r="P3" t="str">
        <v>給食</v>
      </c>
      <c r="Q3" t="str">
        <v>行　　事　　等</v>
      </c>
    </row>
    <row r="4" xml:space="preserve">
      <c r="A4">
        <v>1</v>
      </c>
      <c r="B4" t="str">
        <v>月</v>
      </c>
      <c r="C4">
        <v>4</v>
      </c>
      <c r="D4">
        <v>0.5868055555555556</v>
      </c>
      <c r="E4">
        <v>4</v>
      </c>
      <c r="F4">
        <v>0.5868055555555556</v>
      </c>
      <c r="G4">
        <v>5</v>
      </c>
      <c r="H4">
        <v>0.6180555555555556</v>
      </c>
      <c r="I4">
        <v>5</v>
      </c>
      <c r="J4">
        <v>0.6180555555555556</v>
      </c>
      <c r="K4">
        <v>5</v>
      </c>
      <c r="L4">
        <v>0.6180555555555556</v>
      </c>
      <c r="M4">
        <v>5</v>
      </c>
      <c r="N4">
        <v>0.6180555555555556</v>
      </c>
      <c r="P4" t="str">
        <v>○</v>
      </c>
      <c r="Q4" t="str" xml:space="preserve">
        <v xml:space="preserve">安全点検、防火診断２_x000d_
まゆみっ子自学タイム（低）14:15～14:45_x000d_
(下校：15:00)</v>
      </c>
    </row>
    <row r="5">
      <c r="A5">
        <v>2</v>
      </c>
      <c r="B5" t="str">
        <v>火</v>
      </c>
      <c r="C5">
        <v>5</v>
      </c>
      <c r="D5">
        <v>0.6006944444444444</v>
      </c>
      <c r="E5">
        <v>5</v>
      </c>
      <c r="F5">
        <v>0.6006944444444444</v>
      </c>
      <c r="G5">
        <v>5</v>
      </c>
      <c r="H5">
        <v>0.6354166666666666</v>
      </c>
      <c r="I5">
        <v>6</v>
      </c>
      <c r="J5">
        <v>0.6354166666666666</v>
      </c>
      <c r="K5">
        <v>6</v>
      </c>
      <c r="L5">
        <v>0.6354166666666666</v>
      </c>
      <c r="M5">
        <v>6</v>
      </c>
      <c r="N5">
        <v>0.6354166666666666</v>
      </c>
      <c r="P5" t="str">
        <v>○</v>
      </c>
      <c r="Q5" t="str">
        <v>クラブ活動見学会(3年：欠1)</v>
      </c>
    </row>
    <row r="6" xml:space="preserve">
      <c r="A6">
        <v>3</v>
      </c>
      <c r="B6" t="str">
        <v>水</v>
      </c>
      <c r="C6">
        <v>4</v>
      </c>
      <c r="D6">
        <v>0.5416666666666666</v>
      </c>
      <c r="E6">
        <v>5</v>
      </c>
      <c r="F6">
        <v>0.5833333333333334</v>
      </c>
      <c r="G6">
        <v>5</v>
      </c>
      <c r="H6">
        <v>0.5833333333333334</v>
      </c>
      <c r="I6">
        <v>5</v>
      </c>
      <c r="J6">
        <v>0.5833333333333334</v>
      </c>
      <c r="K6">
        <v>5</v>
      </c>
      <c r="L6">
        <v>0.5833333333333334</v>
      </c>
      <c r="M6">
        <v>5</v>
      </c>
      <c r="N6">
        <v>0.5833333333333334</v>
      </c>
      <c r="O6" t="str">
        <v>短縮</v>
      </c>
      <c r="P6" t="str">
        <v>○</v>
      </c>
      <c r="Q6" t="str" xml:space="preserve">
        <v xml:space="preserve">【短】個別懇談５_x000d_
まゆみっ子自学タイム(中)14:05～14:50_x000d_
(下校：15:00)</v>
      </c>
    </row>
    <row r="7" xml:space="preserve">
      <c r="A7">
        <v>4</v>
      </c>
      <c r="B7" t="str">
        <v>木</v>
      </c>
      <c r="C7">
        <v>4</v>
      </c>
      <c r="D7">
        <v>0.5416666666666666</v>
      </c>
      <c r="E7">
        <v>5</v>
      </c>
      <c r="F7">
        <v>0.5833333333333334</v>
      </c>
      <c r="G7">
        <v>5</v>
      </c>
      <c r="H7">
        <v>0.5833333333333334</v>
      </c>
      <c r="I7">
        <v>5</v>
      </c>
      <c r="J7">
        <v>0.5833333333333334</v>
      </c>
      <c r="K7">
        <v>5</v>
      </c>
      <c r="L7">
        <v>0.5833333333333334</v>
      </c>
      <c r="M7">
        <v>5</v>
      </c>
      <c r="N7">
        <v>0.5833333333333334</v>
      </c>
      <c r="O7" t="str">
        <v>短縮</v>
      </c>
      <c r="P7" t="str">
        <v>○</v>
      </c>
      <c r="Q7" t="str" xml:space="preserve">
        <v xml:space="preserve">【短】個別懇談予備日_x000d_
※11月月案反省提出</v>
      </c>
    </row>
    <row r="8" xml:space="preserve">
      <c r="A8">
        <v>5</v>
      </c>
      <c r="B8" t="str">
        <v>金</v>
      </c>
      <c r="C8">
        <v>5</v>
      </c>
      <c r="D8">
        <v>0.5833333333333334</v>
      </c>
      <c r="E8">
        <v>5</v>
      </c>
      <c r="F8">
        <v>0.5833333333333334</v>
      </c>
      <c r="G8">
        <v>5</v>
      </c>
      <c r="H8">
        <v>0.5833333333333334</v>
      </c>
      <c r="I8">
        <v>5</v>
      </c>
      <c r="J8">
        <v>0.5833333333333334</v>
      </c>
      <c r="K8">
        <v>5</v>
      </c>
      <c r="L8">
        <v>0.5833333333333334</v>
      </c>
      <c r="M8">
        <v>5</v>
      </c>
      <c r="N8">
        <v>0.5833333333333334</v>
      </c>
      <c r="O8" t="str">
        <v>短縮</v>
      </c>
      <c r="P8" t="str">
        <v>○</v>
      </c>
      <c r="Q8" t="str" xml:space="preserve">
        <v xml:space="preserve">【短】学期末事務整理（清掃あり）_x000d_
※通知票原簿提出開始_x000d_
まゆみっ子自学タイム(高)14:05～14:50(下校：15:00)</v>
      </c>
    </row>
    <row r="9">
      <c r="A9">
        <v>6</v>
      </c>
      <c r="B9" t="str">
        <v>土</v>
      </c>
    </row>
    <row r="10">
      <c r="A10">
        <v>7</v>
      </c>
      <c r="B10" t="str">
        <v>日</v>
      </c>
    </row>
    <row r="11" xml:space="preserve">
      <c r="A11">
        <v>8</v>
      </c>
      <c r="B11" t="str">
        <v>月</v>
      </c>
      <c r="C11">
        <v>4</v>
      </c>
      <c r="D11">
        <v>0.5416666666666666</v>
      </c>
      <c r="E11">
        <v>4</v>
      </c>
      <c r="F11">
        <v>0.5416666666666666</v>
      </c>
      <c r="G11">
        <v>5</v>
      </c>
      <c r="H11">
        <v>0.5833333333333334</v>
      </c>
      <c r="I11">
        <v>5</v>
      </c>
      <c r="J11">
        <v>0.5833333333333334</v>
      </c>
      <c r="K11">
        <v>5</v>
      </c>
      <c r="L11">
        <v>0.5833333333333334</v>
      </c>
      <c r="M11">
        <v>5</v>
      </c>
      <c r="N11">
        <v>0.5833333333333334</v>
      </c>
      <c r="O11" t="str">
        <v>短縮</v>
      </c>
      <c r="P11" t="str">
        <v>○</v>
      </c>
      <c r="Q11" t="str" xml:space="preserve">
        <v xml:space="preserve">【短】学期末事務整理_x000d_
まゆみっ子自学タイム(低)13:20～13:50_x000d_
(下校：14:00)</v>
      </c>
    </row>
    <row r="12" xml:space="preserve">
      <c r="A12">
        <v>9</v>
      </c>
      <c r="B12" t="str">
        <v>火</v>
      </c>
      <c r="C12">
        <v>5</v>
      </c>
      <c r="D12">
        <v>0.5833333333333334</v>
      </c>
      <c r="E12">
        <v>5</v>
      </c>
      <c r="F12">
        <v>0.5833333333333334</v>
      </c>
      <c r="G12">
        <v>5</v>
      </c>
      <c r="H12">
        <v>0.5833333333333334</v>
      </c>
      <c r="I12">
        <v>6</v>
      </c>
      <c r="J12">
        <v>0.6215277777777778</v>
      </c>
      <c r="K12">
        <v>6</v>
      </c>
      <c r="L12">
        <v>0.6215277777777778</v>
      </c>
      <c r="M12">
        <v>6</v>
      </c>
      <c r="N12">
        <v>0.6215277777777778</v>
      </c>
      <c r="O12" t="str">
        <v>短縮</v>
      </c>
      <c r="P12" t="str">
        <v>○</v>
      </c>
      <c r="Q12" t="str" xml:space="preserve">
        <v xml:space="preserve">【短】学期末事務整理_x000d_
※通知票原簿提出締切日_x000d_
クラブ活動（上：ク１）反省</v>
      </c>
    </row>
    <row r="13" xml:space="preserve">
      <c r="A13">
        <v>10</v>
      </c>
      <c r="B13" t="str">
        <v>水</v>
      </c>
      <c r="C13">
        <v>5</v>
      </c>
      <c r="D13">
        <v>0.5833333333333334</v>
      </c>
      <c r="E13">
        <v>5</v>
      </c>
      <c r="F13">
        <v>0.5833333333333334</v>
      </c>
      <c r="G13">
        <v>5</v>
      </c>
      <c r="H13">
        <v>0.5833333333333334</v>
      </c>
      <c r="I13">
        <v>5</v>
      </c>
      <c r="J13">
        <v>0.5833333333333334</v>
      </c>
      <c r="K13">
        <v>5</v>
      </c>
      <c r="L13">
        <v>0.5833333333333334</v>
      </c>
      <c r="M13">
        <v>5</v>
      </c>
      <c r="N13">
        <v>0.5833333333333334</v>
      </c>
      <c r="O13" t="str">
        <v>短縮</v>
      </c>
      <c r="P13" t="str">
        <v>○</v>
      </c>
      <c r="Q13" t="str" xml:space="preserve">
        <v xml:space="preserve">【短】学期末事務整理(清掃あり)※口座振替日1_x000d_
まゆみっ子自学タイム（中）14:05～14:50_x000d_
(下校：15:00)</v>
      </c>
    </row>
    <row r="14">
      <c r="A14">
        <v>11</v>
      </c>
      <c r="B14" t="str">
        <v>木</v>
      </c>
      <c r="C14">
        <v>4</v>
      </c>
      <c r="D14">
        <v>0.5694444444444444</v>
      </c>
      <c r="E14">
        <v>4</v>
      </c>
      <c r="F14">
        <v>0.5694444444444444</v>
      </c>
      <c r="G14">
        <v>5</v>
      </c>
      <c r="H14">
        <v>0.6006944444444444</v>
      </c>
      <c r="I14">
        <v>5</v>
      </c>
      <c r="J14">
        <v>0.6006944444444444</v>
      </c>
      <c r="K14">
        <v>5</v>
      </c>
      <c r="L14">
        <v>0.6006944444444444</v>
      </c>
      <c r="M14">
        <v>5</v>
      </c>
      <c r="N14">
        <v>0.6006944444444444</v>
      </c>
      <c r="P14" t="str">
        <v>○</v>
      </c>
      <c r="Q14" t="str">
        <v>高齢者との交流会（５年）10:20～11:05</v>
      </c>
    </row>
    <row r="15" xml:space="preserve">
      <c r="A15">
        <v>12</v>
      </c>
      <c r="B15" t="str">
        <v>金</v>
      </c>
      <c r="C15">
        <v>5</v>
      </c>
      <c r="D15">
        <v>0.6180555555555556</v>
      </c>
      <c r="E15">
        <v>5</v>
      </c>
      <c r="F15">
        <v>0.6180555555555556</v>
      </c>
      <c r="G15">
        <v>5</v>
      </c>
      <c r="H15">
        <v>0.6180555555555556</v>
      </c>
      <c r="I15">
        <v>5</v>
      </c>
      <c r="J15">
        <v>0.6180555555555556</v>
      </c>
      <c r="K15">
        <v>5</v>
      </c>
      <c r="L15">
        <v>0.6180555555555556</v>
      </c>
      <c r="M15">
        <v>5</v>
      </c>
      <c r="N15">
        <v>0.6180555555555556</v>
      </c>
      <c r="P15" t="str">
        <v>○</v>
      </c>
      <c r="Q15" t="str" xml:space="preserve">
        <v xml:space="preserve">モトム号_x000d_
まゆみっ子自学タイム(高)15:00～15:45_x000d_
(下校16:00)</v>
      </c>
    </row>
    <row r="16">
      <c r="A16">
        <v>13</v>
      </c>
      <c r="B16" t="str">
        <v>土</v>
      </c>
    </row>
    <row r="17">
      <c r="A17">
        <v>14</v>
      </c>
      <c r="B17" t="str">
        <v>日</v>
      </c>
    </row>
    <row r="18" xml:space="preserve">
      <c r="A18">
        <v>15</v>
      </c>
      <c r="B18" t="str">
        <v>月</v>
      </c>
      <c r="C18">
        <v>4</v>
      </c>
      <c r="D18">
        <v>0.5868055555555556</v>
      </c>
      <c r="E18">
        <v>4</v>
      </c>
      <c r="F18">
        <v>0.5868055555555556</v>
      </c>
      <c r="G18">
        <v>5</v>
      </c>
      <c r="H18">
        <v>0.6180555555555556</v>
      </c>
      <c r="I18">
        <v>5</v>
      </c>
      <c r="J18">
        <v>0.6180555555555556</v>
      </c>
      <c r="K18">
        <v>5</v>
      </c>
      <c r="L18">
        <v>0.6180555555555556</v>
      </c>
      <c r="M18">
        <v>5</v>
      </c>
      <c r="N18">
        <v>0.6180555555555556</v>
      </c>
      <c r="P18" t="str">
        <v>○</v>
      </c>
      <c r="Q18" t="str" xml:space="preserve">
        <v xml:space="preserve">ドリーム文庫配本※通知票清書提出締切日_x000d_
まゆみっ子自学タイム(低)14:15～14:45_x000d_
(下校15:00)</v>
      </c>
    </row>
    <row r="19" xml:space="preserve">
      <c r="A19">
        <v>16</v>
      </c>
      <c r="B19" t="str">
        <v>火</v>
      </c>
      <c r="C19">
        <v>5</v>
      </c>
      <c r="D19">
        <v>0.6006944444444444</v>
      </c>
      <c r="E19">
        <v>5</v>
      </c>
      <c r="F19">
        <v>0.6006944444444444</v>
      </c>
      <c r="G19">
        <v>5</v>
      </c>
      <c r="H19">
        <v>0.6006944444444444</v>
      </c>
      <c r="I19">
        <v>6</v>
      </c>
      <c r="J19">
        <v>0.6354166666666666</v>
      </c>
      <c r="K19">
        <v>6</v>
      </c>
      <c r="L19">
        <v>0.6354166666666666</v>
      </c>
      <c r="M19">
        <v>6</v>
      </c>
      <c r="N19">
        <v>0.6354166666666666</v>
      </c>
      <c r="P19" t="str">
        <v>○</v>
      </c>
      <c r="Q19" t="str" xml:space="preserve">
        <v xml:space="preserve">※冬休み本の貸出_x000d_
児童会委員会⑥（上：児１）</v>
      </c>
    </row>
    <row r="20" xml:space="preserve">
      <c r="A20">
        <v>17</v>
      </c>
      <c r="B20" t="str">
        <v>水</v>
      </c>
      <c r="C20">
        <v>5</v>
      </c>
      <c r="D20">
        <v>0.6180555555555556</v>
      </c>
      <c r="E20">
        <v>5</v>
      </c>
      <c r="F20">
        <v>0.6180555555555556</v>
      </c>
      <c r="G20">
        <v>5</v>
      </c>
      <c r="H20">
        <v>0.6180555555555556</v>
      </c>
      <c r="I20">
        <v>5</v>
      </c>
      <c r="J20">
        <v>0.6180555555555556</v>
      </c>
      <c r="K20">
        <v>5</v>
      </c>
      <c r="L20">
        <v>0.6180555555555556</v>
      </c>
      <c r="M20">
        <v>5</v>
      </c>
      <c r="N20">
        <v>0.6180555555555556</v>
      </c>
      <c r="P20" t="str">
        <v>○</v>
      </c>
      <c r="Q20" t="str" xml:space="preserve">
        <v xml:space="preserve">※冬休み本の貸出_x000d_
まゆみっ子自学タイム(中)15:00～15:45(下校16:00)_x000d_
祖父母参観（２年） 9:20～11:30</v>
      </c>
    </row>
    <row r="21">
      <c r="A21">
        <v>18</v>
      </c>
      <c r="B21" t="str">
        <v>木</v>
      </c>
      <c r="C21">
        <v>4</v>
      </c>
      <c r="D21">
        <v>0.5694444444444444</v>
      </c>
      <c r="E21">
        <v>5</v>
      </c>
      <c r="F21">
        <v>0.6006944444444444</v>
      </c>
      <c r="G21">
        <v>5</v>
      </c>
      <c r="H21">
        <v>0.6006944444444444</v>
      </c>
      <c r="I21">
        <v>5</v>
      </c>
      <c r="J21">
        <v>0.6006944444444444</v>
      </c>
      <c r="K21">
        <v>5</v>
      </c>
      <c r="L21">
        <v>0.6006944444444444</v>
      </c>
      <c r="M21">
        <v>5</v>
      </c>
      <c r="N21">
        <v>0.6006944444444444</v>
      </c>
      <c r="P21" t="str">
        <v>○</v>
      </c>
      <c r="Q21" t="str">
        <v>※冬休み本の貸出</v>
      </c>
    </row>
    <row r="22" xml:space="preserve">
      <c r="A22">
        <v>19</v>
      </c>
      <c r="B22" t="str">
        <v>金</v>
      </c>
      <c r="C22">
        <v>5</v>
      </c>
      <c r="D22">
        <v>0.6180555555555556</v>
      </c>
      <c r="E22">
        <v>5</v>
      </c>
      <c r="F22">
        <v>0.6180555555555556</v>
      </c>
      <c r="G22">
        <v>5</v>
      </c>
      <c r="H22">
        <v>0.6180555555555556</v>
      </c>
      <c r="I22">
        <v>5</v>
      </c>
      <c r="J22">
        <v>0.6180555555555556</v>
      </c>
      <c r="K22">
        <v>5</v>
      </c>
      <c r="L22">
        <v>0.6180555555555556</v>
      </c>
      <c r="M22">
        <v>5</v>
      </c>
      <c r="N22">
        <v>0.6180555555555556</v>
      </c>
      <c r="P22" t="str">
        <v>○</v>
      </c>
      <c r="Q22" t="str" xml:space="preserve">
        <v xml:space="preserve">第２回校内美化活動⑤(全：行1)_x000d_
まゆみっ子自学タイム(高)15:00～15:45_x000d_
(下校16:00)</v>
      </c>
    </row>
    <row r="23">
      <c r="A23">
        <v>20</v>
      </c>
      <c r="B23" t="str">
        <v>土</v>
      </c>
    </row>
    <row r="24">
      <c r="A24">
        <v>21</v>
      </c>
      <c r="B24" t="str">
        <v>日</v>
      </c>
    </row>
    <row r="25">
      <c r="A25">
        <v>22</v>
      </c>
      <c r="B25" t="str">
        <v>月</v>
      </c>
      <c r="C25">
        <v>4</v>
      </c>
      <c r="D25">
        <v>0.5868055555555556</v>
      </c>
      <c r="E25">
        <v>4</v>
      </c>
      <c r="F25">
        <v>0.5868055555555556</v>
      </c>
      <c r="G25">
        <v>5</v>
      </c>
      <c r="H25">
        <v>0.6180555555555556</v>
      </c>
      <c r="I25">
        <v>5</v>
      </c>
      <c r="J25">
        <v>0.6180555555555556</v>
      </c>
      <c r="K25">
        <v>5</v>
      </c>
      <c r="L25">
        <v>0.6180555555555556</v>
      </c>
      <c r="M25">
        <v>5</v>
      </c>
      <c r="N25">
        <v>0.6180555555555556</v>
      </c>
      <c r="P25" t="str">
        <v>○</v>
      </c>
    </row>
    <row r="26" xml:space="preserve">
      <c r="A26">
        <v>23</v>
      </c>
      <c r="B26" t="str">
        <v>火</v>
      </c>
      <c r="C26">
        <v>4</v>
      </c>
      <c r="D26">
        <v>0.5</v>
      </c>
      <c r="E26">
        <v>4</v>
      </c>
      <c r="F26">
        <v>0.5</v>
      </c>
      <c r="G26">
        <v>4</v>
      </c>
      <c r="H26">
        <v>0.5</v>
      </c>
      <c r="I26">
        <v>4</v>
      </c>
      <c r="J26">
        <v>0.5</v>
      </c>
      <c r="K26">
        <v>4</v>
      </c>
      <c r="L26">
        <v>0.5</v>
      </c>
      <c r="M26">
        <v>4</v>
      </c>
      <c r="N26">
        <v>0.5</v>
      </c>
      <c r="O26" t="str">
        <v>特別</v>
      </c>
      <c r="P26" t="str">
        <v>×</v>
      </c>
      <c r="Q26" t="str" xml:space="preserve">
        <v xml:space="preserve">【特】第２学期終業式_x000d_
※月末・学期末統計</v>
      </c>
    </row>
    <row r="27">
      <c r="A27">
        <v>24</v>
      </c>
      <c r="B27" t="str">
        <v>水</v>
      </c>
      <c r="Q27" t="str">
        <v>冬季休業日(～1/7)</v>
      </c>
    </row>
    <row r="28">
      <c r="A28">
        <v>25</v>
      </c>
      <c r="B28" t="str">
        <v>木</v>
      </c>
      <c r="Q28" t="str">
        <v>※口座振替日2</v>
      </c>
    </row>
    <row r="29">
      <c r="A29">
        <v>26</v>
      </c>
      <c r="B29" t="str">
        <v>金</v>
      </c>
      <c r="Q29" t="str">
        <v>※諸表簿提出、１月時間割提出</v>
      </c>
    </row>
    <row r="30">
      <c r="A30">
        <v>27</v>
      </c>
      <c r="B30" t="str">
        <v>土</v>
      </c>
    </row>
    <row r="31">
      <c r="A31">
        <v>28</v>
      </c>
      <c r="B31" t="str">
        <v>日</v>
      </c>
    </row>
    <row r="32">
      <c r="A32">
        <v>29</v>
      </c>
      <c r="B32" t="str">
        <v>月</v>
      </c>
      <c r="Q32" t="str">
        <v>空直日</v>
      </c>
    </row>
    <row r="33">
      <c r="A33">
        <v>30</v>
      </c>
      <c r="B33" t="str">
        <v>火</v>
      </c>
      <c r="Q33" t="str">
        <v>空直日</v>
      </c>
    </row>
    <row r="34">
      <c r="A34">
        <v>31</v>
      </c>
      <c r="B34" t="str">
        <v>水</v>
      </c>
      <c r="Q34" t="str">
        <v>空直日、大晦日</v>
      </c>
    </row>
    <row r="35" xml:space="preserve">
      <c r="A35" t="str">
        <v>留意点</v>
      </c>
      <c r="B35" t="str" xml:space="preserve">
        <v xml:space="preserve">○追加：12/11(木)高齢者との交流会(5年)、12/17(水)祖父母参観(2年)_x000d_
○12/2(火)クラブ見学会【特別時程】通常時程</v>
      </c>
    </row>
    <row r="36">
      <c r="B36">
        <f>F2</f>
        <v>12</v>
      </c>
      <c r="C36" t="str">
        <v>月</v>
      </c>
      <c r="D36" t="str">
        <v>実施時数予定</v>
      </c>
    </row>
    <row r="37">
      <c r="C37" t="str">
        <v>１年</v>
      </c>
      <c r="E37" t="str">
        <v>２年</v>
      </c>
      <c r="G37" t="str">
        <v>３年</v>
      </c>
      <c r="I37" t="str">
        <v>４年</v>
      </c>
      <c r="K37" t="str">
        <v>５年</v>
      </c>
      <c r="M37" t="str">
        <v>６年</v>
      </c>
      <c r="O37" t="str">
        <v>Ｍ時数</v>
      </c>
      <c r="P37" t="str">
        <v>食数</v>
      </c>
    </row>
    <row r="38">
      <c r="A38" t="str">
        <v>実施できる時数</v>
      </c>
      <c r="C38">
        <f>SUM(C4:C34)+O38</f>
        <v>76</v>
      </c>
      <c r="E38">
        <f>SUM(E4:E34)+O38</f>
        <v>79</v>
      </c>
      <c r="G38">
        <f>SUM(G4:G34)+O38</f>
        <v>84</v>
      </c>
      <c r="I38">
        <f>SUM(I4:I34)+O38</f>
        <v>87</v>
      </c>
      <c r="K38">
        <f>SUM(K4:K34)+O38</f>
        <v>87</v>
      </c>
      <c r="M38">
        <f>SUM(M4:M34)+O38</f>
        <v>87</v>
      </c>
      <c r="P38">
        <f>COUNTIF(P3:P34,"○")</f>
        <v>16</v>
      </c>
    </row>
    <row r="39">
      <c r="A39" t="str">
        <v>計画された時数</v>
      </c>
      <c r="C39">
        <v>76</v>
      </c>
      <c r="E39">
        <v>78</v>
      </c>
      <c r="G39">
        <v>83</v>
      </c>
      <c r="I39">
        <v>86</v>
      </c>
      <c r="K39">
        <v>85</v>
      </c>
      <c r="M39">
        <v>86</v>
      </c>
    </row>
    <row r="40">
      <c r="A40" t="str">
        <v>9月余剰時数</v>
      </c>
      <c r="C40">
        <f>C38-C39</f>
        <v>0</v>
      </c>
      <c r="E40">
        <f>E38-E39</f>
        <v>1</v>
      </c>
      <c r="G40">
        <f>G38-G39</f>
        <v>1</v>
      </c>
      <c r="I40">
        <f>I38-I39</f>
        <v>1</v>
      </c>
      <c r="K40">
        <f>K38-K39</f>
        <v>2</v>
      </c>
      <c r="M40">
        <f>M38-M39</f>
        <v>1</v>
      </c>
    </row>
    <row r="41">
      <c r="Q41">
        <v>3</v>
      </c>
    </row>
  </sheetData>
  <mergeCells count="40">
    <mergeCell ref="A1:D1"/>
    <mergeCell ref="O1:Q1"/>
    <mergeCell ref="A2:D2"/>
    <mergeCell ref="H2:O2"/>
    <mergeCell ref="C3:D3"/>
    <mergeCell ref="E3:F3"/>
    <mergeCell ref="G3:H3"/>
    <mergeCell ref="I3:J3"/>
    <mergeCell ref="K3:L3"/>
    <mergeCell ref="M3:N3"/>
    <mergeCell ref="B35:Q35"/>
    <mergeCell ref="D36:G36"/>
    <mergeCell ref="A37:B37"/>
    <mergeCell ref="C37:D37"/>
    <mergeCell ref="E37:F37"/>
    <mergeCell ref="G37:H37"/>
    <mergeCell ref="I37:J37"/>
    <mergeCell ref="K37:L37"/>
    <mergeCell ref="M37:N37"/>
    <mergeCell ref="M38:N38"/>
    <mergeCell ref="A39:B39"/>
    <mergeCell ref="C39:D39"/>
    <mergeCell ref="E39:F39"/>
    <mergeCell ref="G39:H39"/>
    <mergeCell ref="I39:J39"/>
    <mergeCell ref="K39:L39"/>
    <mergeCell ref="M39:N39"/>
    <mergeCell ref="A38:B38"/>
    <mergeCell ref="C38:D38"/>
    <mergeCell ref="E38:F38"/>
    <mergeCell ref="G38:H38"/>
    <mergeCell ref="I38:J38"/>
    <mergeCell ref="K38:L38"/>
    <mergeCell ref="M40:N40"/>
    <mergeCell ref="A40:B40"/>
    <mergeCell ref="C40:D40"/>
    <mergeCell ref="E40:F40"/>
    <mergeCell ref="G40:H40"/>
    <mergeCell ref="I40:J40"/>
    <mergeCell ref="K40:L40"/>
  </mergeCells>
  <pageMargins left="0.4724409448818898" right="0.4724409448818898" top="0.3937007874015748" bottom="0.4330708661417323" header="0.31496062992125984" footer="0.31496062992125984"/>
  <ignoredErrors>
    <ignoredError numberStoredAsText="1" sqref="A1:Q42"/>
  </ignoredErrors>
</worksheet>
</file>

<file path=xl/worksheets/sheet24.xml><?xml version="1.0" encoding="utf-8"?>
<worksheet xmlns="http://schemas.openxmlformats.org/spreadsheetml/2006/main" xmlns:r="http://schemas.openxmlformats.org/officeDocument/2006/relationships">
  <dimension ref="A1:Q42"/>
  <sheetViews>
    <sheetView workbookViewId="0" rightToLeft="0"/>
  </sheetViews>
  <sheetData>
    <row r="2">
      <c r="A2" t="str">
        <v>令和7年度</v>
      </c>
      <c r="F2">
        <v>12</v>
      </c>
      <c r="G2" t="str">
        <v>月</v>
      </c>
      <c r="H2" t="str">
        <v>授業時数･下校予定時刻一覧表(11/25版)</v>
      </c>
      <c r="Q2" t="str">
        <v>本宮市立本宮まゆみ小学校</v>
      </c>
    </row>
    <row r="3">
      <c r="A3" t="str">
        <v>日</v>
      </c>
      <c r="B3" t="str">
        <v>曜</v>
      </c>
      <c r="C3" t="str">
        <v>１学年</v>
      </c>
      <c r="E3" t="str">
        <v>２学年</v>
      </c>
      <c r="G3" t="str">
        <v>３学年</v>
      </c>
      <c r="I3" t="str">
        <v>４学年</v>
      </c>
      <c r="K3" t="str">
        <v>５学年</v>
      </c>
      <c r="M3" t="str">
        <v>６学年</v>
      </c>
      <c r="O3" t="str">
        <v>特別日程</v>
      </c>
      <c r="P3" t="str">
        <v>給食</v>
      </c>
      <c r="Q3" t="str">
        <v>行　　事　　等</v>
      </c>
    </row>
    <row r="4" xml:space="preserve">
      <c r="A4">
        <v>1</v>
      </c>
      <c r="B4" t="str">
        <v>月</v>
      </c>
      <c r="C4">
        <v>4</v>
      </c>
      <c r="D4">
        <v>0.5868055555555556</v>
      </c>
      <c r="E4">
        <v>4</v>
      </c>
      <c r="F4">
        <v>0.5868055555555556</v>
      </c>
      <c r="G4">
        <v>5</v>
      </c>
      <c r="H4">
        <v>0.6180555555555556</v>
      </c>
      <c r="I4">
        <v>5</v>
      </c>
      <c r="J4">
        <v>0.6180555555555556</v>
      </c>
      <c r="K4">
        <v>5</v>
      </c>
      <c r="L4">
        <v>0.6180555555555556</v>
      </c>
      <c r="M4">
        <v>5</v>
      </c>
      <c r="N4">
        <v>0.6180555555555556</v>
      </c>
      <c r="P4" t="str">
        <v>○</v>
      </c>
      <c r="Q4" t="str" xml:space="preserve">
        <v xml:space="preserve">安全点検、防火診断２_x000d_
まゆみっ子自学タイム（低）14:15～14:45_x000d_
(下校：15:00)</v>
      </c>
    </row>
    <row r="5">
      <c r="A5">
        <v>2</v>
      </c>
      <c r="B5" t="str">
        <v>火</v>
      </c>
      <c r="C5">
        <v>5</v>
      </c>
      <c r="D5">
        <v>0.6006944444444444</v>
      </c>
      <c r="E5">
        <v>5</v>
      </c>
      <c r="F5">
        <v>0.6006944444444444</v>
      </c>
      <c r="G5">
        <v>5</v>
      </c>
      <c r="H5">
        <v>0.6354166666666666</v>
      </c>
      <c r="I5">
        <v>6</v>
      </c>
      <c r="J5">
        <v>0.6354166666666666</v>
      </c>
      <c r="K5">
        <v>6</v>
      </c>
      <c r="L5">
        <v>0.6354166666666666</v>
      </c>
      <c r="M5">
        <v>6</v>
      </c>
      <c r="N5">
        <v>0.6354166666666666</v>
      </c>
      <c r="P5" t="str">
        <v>○</v>
      </c>
      <c r="Q5" t="str">
        <v>クラブ活動見学会(3年：欠1)</v>
      </c>
    </row>
    <row r="6" xml:space="preserve">
      <c r="A6">
        <v>3</v>
      </c>
      <c r="B6" t="str">
        <v>水</v>
      </c>
      <c r="C6">
        <v>4</v>
      </c>
      <c r="D6">
        <v>0.5416666666666666</v>
      </c>
      <c r="E6">
        <v>5</v>
      </c>
      <c r="F6">
        <v>0.5833333333333334</v>
      </c>
      <c r="G6">
        <v>5</v>
      </c>
      <c r="H6">
        <v>0.5833333333333334</v>
      </c>
      <c r="I6">
        <v>5</v>
      </c>
      <c r="J6">
        <v>0.5833333333333334</v>
      </c>
      <c r="K6">
        <v>5</v>
      </c>
      <c r="L6">
        <v>0.5833333333333334</v>
      </c>
      <c r="M6">
        <v>5</v>
      </c>
      <c r="N6">
        <v>0.5833333333333334</v>
      </c>
      <c r="O6" t="str">
        <v>短縮</v>
      </c>
      <c r="P6" t="str">
        <v>○</v>
      </c>
      <c r="Q6" t="str" xml:space="preserve">
        <v xml:space="preserve">【短】個別懇談５_x000d_
まゆみっ子自学タイム(中)14:05～14:50_x000d_
(下校：15:00)</v>
      </c>
    </row>
    <row r="7" xml:space="preserve">
      <c r="A7">
        <v>4</v>
      </c>
      <c r="B7" t="str">
        <v>木</v>
      </c>
      <c r="C7">
        <v>4</v>
      </c>
      <c r="D7">
        <v>0.5416666666666666</v>
      </c>
      <c r="E7">
        <v>5</v>
      </c>
      <c r="F7">
        <v>0.5833333333333334</v>
      </c>
      <c r="G7">
        <v>5</v>
      </c>
      <c r="H7">
        <v>0.5833333333333334</v>
      </c>
      <c r="I7">
        <v>5</v>
      </c>
      <c r="J7">
        <v>0.5833333333333334</v>
      </c>
      <c r="K7">
        <v>5</v>
      </c>
      <c r="L7">
        <v>0.5833333333333334</v>
      </c>
      <c r="M7">
        <v>5</v>
      </c>
      <c r="N7">
        <v>0.5833333333333334</v>
      </c>
      <c r="O7" t="str">
        <v>短縮</v>
      </c>
      <c r="P7" t="str">
        <v>○</v>
      </c>
      <c r="Q7" t="str" xml:space="preserve">
        <v xml:space="preserve">【短】個別懇談予備日_x000d_
※11月月案反省提出</v>
      </c>
    </row>
    <row r="8" xml:space="preserve">
      <c r="A8">
        <v>5</v>
      </c>
      <c r="B8" t="str">
        <v>金</v>
      </c>
      <c r="C8">
        <v>5</v>
      </c>
      <c r="D8">
        <v>0.5833333333333334</v>
      </c>
      <c r="E8">
        <v>5</v>
      </c>
      <c r="F8">
        <v>0.5833333333333334</v>
      </c>
      <c r="G8">
        <v>5</v>
      </c>
      <c r="H8">
        <v>0.5833333333333334</v>
      </c>
      <c r="I8">
        <v>5</v>
      </c>
      <c r="J8">
        <v>0.5833333333333334</v>
      </c>
      <c r="K8">
        <v>5</v>
      </c>
      <c r="L8">
        <v>0.5833333333333334</v>
      </c>
      <c r="M8">
        <v>5</v>
      </c>
      <c r="N8">
        <v>0.5833333333333334</v>
      </c>
      <c r="O8" t="str">
        <v>短縮</v>
      </c>
      <c r="P8" t="str">
        <v>○</v>
      </c>
      <c r="Q8" t="str" xml:space="preserve">
        <v xml:space="preserve">【短】学期末事務整理（清掃あり）_x000d_
※通知票原簿提出開始_x000d_
まゆみっ子自学タイム(高)14:05～14:50(下校：15:00)</v>
      </c>
    </row>
    <row r="9">
      <c r="A9">
        <v>6</v>
      </c>
      <c r="B9" t="str">
        <v>土</v>
      </c>
    </row>
    <row r="10">
      <c r="A10">
        <v>7</v>
      </c>
      <c r="B10" t="str">
        <v>日</v>
      </c>
    </row>
    <row r="11" xml:space="preserve">
      <c r="A11">
        <v>8</v>
      </c>
      <c r="B11" t="str">
        <v>月</v>
      </c>
      <c r="C11">
        <v>4</v>
      </c>
      <c r="D11">
        <v>0.5416666666666666</v>
      </c>
      <c r="E11">
        <v>4</v>
      </c>
      <c r="F11">
        <v>0.5416666666666666</v>
      </c>
      <c r="G11">
        <v>5</v>
      </c>
      <c r="H11">
        <v>0.5833333333333334</v>
      </c>
      <c r="I11">
        <v>5</v>
      </c>
      <c r="J11">
        <v>0.5833333333333334</v>
      </c>
      <c r="K11">
        <v>5</v>
      </c>
      <c r="L11">
        <v>0.5833333333333334</v>
      </c>
      <c r="M11">
        <v>5</v>
      </c>
      <c r="N11">
        <v>0.5833333333333334</v>
      </c>
      <c r="O11" t="str">
        <v>短縮</v>
      </c>
      <c r="P11" t="str">
        <v>○</v>
      </c>
      <c r="Q11" t="str" xml:space="preserve">
        <v xml:space="preserve">【短】学期末事務整理_x000d_
まゆみっ子自学タイム(低)13:20～13:50_x000d_
(下校：14:00)</v>
      </c>
    </row>
    <row r="12" xml:space="preserve">
      <c r="A12">
        <v>9</v>
      </c>
      <c r="B12" t="str">
        <v>火</v>
      </c>
      <c r="C12">
        <v>5</v>
      </c>
      <c r="D12">
        <v>0.5833333333333334</v>
      </c>
      <c r="E12">
        <v>5</v>
      </c>
      <c r="F12">
        <v>0.5833333333333334</v>
      </c>
      <c r="G12">
        <v>5</v>
      </c>
      <c r="H12">
        <v>0.5833333333333334</v>
      </c>
      <c r="I12">
        <v>6</v>
      </c>
      <c r="J12">
        <v>0.6215277777777778</v>
      </c>
      <c r="K12">
        <v>6</v>
      </c>
      <c r="L12">
        <v>0.6215277777777778</v>
      </c>
      <c r="M12">
        <v>6</v>
      </c>
      <c r="N12">
        <v>0.6215277777777778</v>
      </c>
      <c r="O12" t="str">
        <v>短縮</v>
      </c>
      <c r="P12" t="str">
        <v>○</v>
      </c>
      <c r="Q12" t="str" xml:space="preserve">
        <v xml:space="preserve">【短】学期末事務整理_x000d_
※通知票原簿提出締切日_x000d_
クラブ活動（上：ク１）</v>
      </c>
    </row>
    <row r="13" xml:space="preserve">
      <c r="A13">
        <v>10</v>
      </c>
      <c r="B13" t="str">
        <v>水</v>
      </c>
      <c r="C13">
        <v>5</v>
      </c>
      <c r="D13">
        <v>0.5833333333333334</v>
      </c>
      <c r="E13">
        <v>5</v>
      </c>
      <c r="F13">
        <v>0.5833333333333334</v>
      </c>
      <c r="G13">
        <v>5</v>
      </c>
      <c r="H13">
        <v>0.5833333333333334</v>
      </c>
      <c r="I13">
        <v>5</v>
      </c>
      <c r="J13">
        <v>0.5833333333333334</v>
      </c>
      <c r="K13">
        <v>5</v>
      </c>
      <c r="L13">
        <v>0.5833333333333334</v>
      </c>
      <c r="M13">
        <v>5</v>
      </c>
      <c r="N13">
        <v>0.5833333333333334</v>
      </c>
      <c r="O13" t="str">
        <v>短縮</v>
      </c>
      <c r="P13" t="str">
        <v>○</v>
      </c>
      <c r="Q13" t="str" xml:space="preserve">
        <v xml:space="preserve">【短】学期末事務整理(清掃あり)※口座振替日1_x000d_
まゆみっ子自学タイム（中）14:05～14:50_x000d_
(下校：15:00)</v>
      </c>
    </row>
    <row r="14" xml:space="preserve">
      <c r="A14">
        <v>11</v>
      </c>
      <c r="B14" t="str">
        <v>木</v>
      </c>
      <c r="C14">
        <v>4</v>
      </c>
      <c r="D14">
        <v>0.5694444444444444</v>
      </c>
      <c r="E14">
        <v>4</v>
      </c>
      <c r="F14">
        <v>0.5694444444444444</v>
      </c>
      <c r="G14">
        <v>5</v>
      </c>
      <c r="H14">
        <v>0.6006944444444444</v>
      </c>
      <c r="I14">
        <v>5</v>
      </c>
      <c r="J14">
        <v>0.6006944444444444</v>
      </c>
      <c r="K14">
        <v>5</v>
      </c>
      <c r="L14">
        <v>0.6006944444444444</v>
      </c>
      <c r="M14">
        <v>5</v>
      </c>
      <c r="N14">
        <v>0.6006944444444444</v>
      </c>
      <c r="P14" t="str">
        <v>○</v>
      </c>
      <c r="Q14" t="str" xml:space="preserve">
        <v xml:space="preserve">高齢者との交流会（５年）10:20～11:05_x000d_
クラブ活動（上：ク１）反省</v>
      </c>
    </row>
    <row r="15" xml:space="preserve">
      <c r="A15">
        <v>12</v>
      </c>
      <c r="B15" t="str">
        <v>金</v>
      </c>
      <c r="C15">
        <v>5</v>
      </c>
      <c r="D15">
        <v>0.6180555555555556</v>
      </c>
      <c r="E15">
        <v>5</v>
      </c>
      <c r="F15">
        <v>0.6180555555555556</v>
      </c>
      <c r="G15">
        <v>5</v>
      </c>
      <c r="H15">
        <v>0.6180555555555556</v>
      </c>
      <c r="I15">
        <v>5</v>
      </c>
      <c r="J15">
        <v>0.6180555555555556</v>
      </c>
      <c r="K15">
        <v>5</v>
      </c>
      <c r="L15">
        <v>0.6180555555555556</v>
      </c>
      <c r="M15">
        <v>5</v>
      </c>
      <c r="N15">
        <v>0.6180555555555556</v>
      </c>
      <c r="P15" t="str">
        <v>○</v>
      </c>
      <c r="Q15" t="str" xml:space="preserve">
        <v xml:space="preserve">モトム号_x000d_
まゆみっ子自学タイム(高)15:00～15:45_x000d_
(下校16:00)</v>
      </c>
    </row>
    <row r="16">
      <c r="A16">
        <v>13</v>
      </c>
      <c r="B16" t="str">
        <v>土</v>
      </c>
    </row>
    <row r="17">
      <c r="A17">
        <v>14</v>
      </c>
      <c r="B17" t="str">
        <v>日</v>
      </c>
    </row>
    <row r="18" xml:space="preserve">
      <c r="A18">
        <v>15</v>
      </c>
      <c r="B18" t="str">
        <v>月</v>
      </c>
      <c r="C18">
        <v>4</v>
      </c>
      <c r="D18">
        <v>0.5868055555555556</v>
      </c>
      <c r="E18">
        <v>4</v>
      </c>
      <c r="F18">
        <v>0.5868055555555556</v>
      </c>
      <c r="G18">
        <v>5</v>
      </c>
      <c r="H18">
        <v>0.6180555555555556</v>
      </c>
      <c r="I18">
        <v>5</v>
      </c>
      <c r="J18">
        <v>0.6180555555555556</v>
      </c>
      <c r="K18">
        <v>5</v>
      </c>
      <c r="L18">
        <v>0.6180555555555556</v>
      </c>
      <c r="M18">
        <v>5</v>
      </c>
      <c r="N18">
        <v>0.6180555555555556</v>
      </c>
      <c r="P18" t="str">
        <v>○</v>
      </c>
      <c r="Q18" t="str" xml:space="preserve">
        <v xml:space="preserve">ドリーム文庫配本※通知票清書提出締切日_x000d_
まゆみっ子自学タイム(低)14:15～14:45_x000d_
(下校15:00)</v>
      </c>
    </row>
    <row r="19" xml:space="preserve">
      <c r="A19">
        <v>16</v>
      </c>
      <c r="B19" t="str">
        <v>火</v>
      </c>
      <c r="C19">
        <v>5</v>
      </c>
      <c r="D19">
        <v>0.6006944444444444</v>
      </c>
      <c r="E19">
        <v>5</v>
      </c>
      <c r="F19">
        <v>0.6006944444444444</v>
      </c>
      <c r="G19">
        <v>5</v>
      </c>
      <c r="H19">
        <v>0.6006944444444444</v>
      </c>
      <c r="I19">
        <v>6</v>
      </c>
      <c r="J19">
        <v>0.6354166666666666</v>
      </c>
      <c r="K19">
        <v>6</v>
      </c>
      <c r="L19">
        <v>0.6354166666666666</v>
      </c>
      <c r="M19">
        <v>6</v>
      </c>
      <c r="N19">
        <v>0.6354166666666666</v>
      </c>
      <c r="P19" t="str">
        <v>○</v>
      </c>
      <c r="Q19" t="str" xml:space="preserve">
        <v xml:space="preserve">※冬休み本の貸出_x000d_
児童会委員会⑥（上：児１）</v>
      </c>
    </row>
    <row r="20" xml:space="preserve">
      <c r="A20">
        <v>17</v>
      </c>
      <c r="B20" t="str">
        <v>水</v>
      </c>
      <c r="C20">
        <v>5</v>
      </c>
      <c r="D20">
        <v>0.6180555555555556</v>
      </c>
      <c r="E20">
        <v>5</v>
      </c>
      <c r="F20">
        <v>0.6180555555555556</v>
      </c>
      <c r="G20">
        <v>5</v>
      </c>
      <c r="H20">
        <v>0.6180555555555556</v>
      </c>
      <c r="I20">
        <v>5</v>
      </c>
      <c r="J20">
        <v>0.6180555555555556</v>
      </c>
      <c r="K20">
        <v>5</v>
      </c>
      <c r="L20">
        <v>0.6180555555555556</v>
      </c>
      <c r="M20">
        <v>5</v>
      </c>
      <c r="N20">
        <v>0.6180555555555556</v>
      </c>
      <c r="P20" t="str">
        <v>○</v>
      </c>
      <c r="Q20" t="str" xml:space="preserve">
        <v xml:space="preserve">※冬休み本の貸出_x000d_
まゆみっ子自学タイム(中)15:00～15:45(下校16:00)_x000d_
祖父母参観（２年） 9:20～11:30</v>
      </c>
    </row>
    <row r="21" xml:space="preserve">
      <c r="A21">
        <v>18</v>
      </c>
      <c r="B21" t="str">
        <v>木</v>
      </c>
      <c r="C21">
        <v>4</v>
      </c>
      <c r="D21">
        <v>0.5694444444444444</v>
      </c>
      <c r="E21">
        <v>5</v>
      </c>
      <c r="F21">
        <v>0.6006944444444444</v>
      </c>
      <c r="G21">
        <v>5</v>
      </c>
      <c r="H21">
        <v>0.6006944444444444</v>
      </c>
      <c r="I21">
        <v>5</v>
      </c>
      <c r="J21">
        <v>0.6006944444444444</v>
      </c>
      <c r="K21">
        <v>5</v>
      </c>
      <c r="L21">
        <v>0.6006944444444444</v>
      </c>
      <c r="M21">
        <v>5</v>
      </c>
      <c r="N21">
        <v>0.6006944444444444</v>
      </c>
      <c r="P21" t="str">
        <v>○</v>
      </c>
      <c r="Q21" t="str" xml:space="preserve">
        <v xml:space="preserve">※冬休み本の貸出_x000d_
</v>
      </c>
    </row>
    <row r="22" xml:space="preserve">
      <c r="A22">
        <v>19</v>
      </c>
      <c r="B22" t="str">
        <v>金</v>
      </c>
      <c r="C22">
        <v>5</v>
      </c>
      <c r="D22">
        <v>0.6180555555555556</v>
      </c>
      <c r="E22">
        <v>5</v>
      </c>
      <c r="F22">
        <v>0.6180555555555556</v>
      </c>
      <c r="G22">
        <v>5</v>
      </c>
      <c r="H22">
        <v>0.6180555555555556</v>
      </c>
      <c r="I22">
        <v>5</v>
      </c>
      <c r="J22">
        <v>0.6180555555555556</v>
      </c>
      <c r="K22">
        <v>5</v>
      </c>
      <c r="L22">
        <v>0.6180555555555556</v>
      </c>
      <c r="M22">
        <v>5</v>
      </c>
      <c r="N22">
        <v>0.6180555555555556</v>
      </c>
      <c r="P22" t="str">
        <v>○</v>
      </c>
      <c r="Q22" t="str" xml:space="preserve">
        <v xml:space="preserve">第２回校内美化活動⑤(全：行1)_x000d_
まゆみっ子自学タイム(高)15:00～15:45_x000d_
(下校16:00)</v>
      </c>
    </row>
    <row r="23">
      <c r="A23">
        <v>20</v>
      </c>
      <c r="B23" t="str">
        <v>土</v>
      </c>
    </row>
    <row r="24">
      <c r="A24">
        <v>21</v>
      </c>
      <c r="B24" t="str">
        <v>日</v>
      </c>
    </row>
    <row r="25">
      <c r="A25">
        <v>22</v>
      </c>
      <c r="B25" t="str">
        <v>月</v>
      </c>
      <c r="C25">
        <v>4</v>
      </c>
      <c r="D25">
        <v>0.5868055555555556</v>
      </c>
      <c r="E25">
        <v>4</v>
      </c>
      <c r="F25">
        <v>0.5868055555555556</v>
      </c>
      <c r="G25">
        <v>5</v>
      </c>
      <c r="H25">
        <v>0.6180555555555556</v>
      </c>
      <c r="I25">
        <v>5</v>
      </c>
      <c r="J25">
        <v>0.6180555555555556</v>
      </c>
      <c r="K25">
        <v>5</v>
      </c>
      <c r="L25">
        <v>0.6180555555555556</v>
      </c>
      <c r="M25">
        <v>5</v>
      </c>
      <c r="N25">
        <v>0.6180555555555556</v>
      </c>
      <c r="P25" t="str">
        <v>○</v>
      </c>
    </row>
    <row r="26" xml:space="preserve">
      <c r="A26">
        <v>23</v>
      </c>
      <c r="B26" t="str">
        <v>火</v>
      </c>
      <c r="C26">
        <v>4</v>
      </c>
      <c r="D26">
        <v>0.5</v>
      </c>
      <c r="E26">
        <v>4</v>
      </c>
      <c r="F26">
        <v>0.5</v>
      </c>
      <c r="G26">
        <v>4</v>
      </c>
      <c r="H26">
        <v>0.5</v>
      </c>
      <c r="I26">
        <v>4</v>
      </c>
      <c r="J26">
        <v>0.5</v>
      </c>
      <c r="K26">
        <v>4</v>
      </c>
      <c r="L26">
        <v>0.5</v>
      </c>
      <c r="M26">
        <v>4</v>
      </c>
      <c r="N26">
        <v>0.5</v>
      </c>
      <c r="O26" t="str">
        <v>特別</v>
      </c>
      <c r="P26" t="str">
        <v>×</v>
      </c>
      <c r="Q26" t="str" xml:space="preserve">
        <v xml:space="preserve">【特】第２学期終業式_x000d_
※月末・学期末統計</v>
      </c>
    </row>
    <row r="27">
      <c r="A27">
        <v>24</v>
      </c>
      <c r="B27" t="str">
        <v>水</v>
      </c>
      <c r="Q27" t="str">
        <v>冬季休業日(～1/7)</v>
      </c>
    </row>
    <row r="28">
      <c r="A28">
        <v>25</v>
      </c>
      <c r="B28" t="str">
        <v>木</v>
      </c>
      <c r="Q28" t="str">
        <v>※口座振替日2</v>
      </c>
    </row>
    <row r="29">
      <c r="A29">
        <v>26</v>
      </c>
      <c r="B29" t="str">
        <v>金</v>
      </c>
      <c r="Q29" t="str">
        <v>※諸表簿提出、１月時間割提出</v>
      </c>
    </row>
    <row r="30">
      <c r="A30">
        <v>27</v>
      </c>
      <c r="B30" t="str">
        <v>土</v>
      </c>
    </row>
    <row r="31">
      <c r="A31">
        <v>28</v>
      </c>
      <c r="B31" t="str">
        <v>日</v>
      </c>
    </row>
    <row r="32">
      <c r="A32">
        <v>29</v>
      </c>
      <c r="B32" t="str">
        <v>月</v>
      </c>
      <c r="Q32" t="str">
        <v>空直日</v>
      </c>
    </row>
    <row r="33">
      <c r="A33">
        <v>30</v>
      </c>
      <c r="B33" t="str">
        <v>火</v>
      </c>
      <c r="Q33" t="str">
        <v>空直日</v>
      </c>
    </row>
    <row r="34">
      <c r="A34">
        <v>31</v>
      </c>
      <c r="B34" t="str">
        <v>水</v>
      </c>
      <c r="Q34" t="str">
        <v>空直日、大晦日</v>
      </c>
    </row>
    <row r="35" xml:space="preserve">
      <c r="A35" t="str">
        <v>留意点</v>
      </c>
      <c r="B35" t="str" xml:space="preserve">
        <v xml:space="preserve">○12/9(火)クラブ活動(反省)、_x000d_
　12/11(木)５校時クラブ活動(反省)_x000d_
　※下校時刻は変わりませんが、惠子先生と押山先生は授業のため、クラブへは行けません。_x000d_
　運動②クラブと調理・手芸クラブは、担当の先生方でお願いします。</v>
      </c>
    </row>
    <row r="36">
      <c r="B36">
        <f>F2</f>
        <v>12</v>
      </c>
      <c r="C36" t="str">
        <v>月</v>
      </c>
      <c r="D36" t="str">
        <v>実施時数予定</v>
      </c>
    </row>
    <row r="37">
      <c r="C37" t="str">
        <v>１年</v>
      </c>
      <c r="E37" t="str">
        <v>２年</v>
      </c>
      <c r="G37" t="str">
        <v>３年</v>
      </c>
      <c r="I37" t="str">
        <v>４年</v>
      </c>
      <c r="K37" t="str">
        <v>５年</v>
      </c>
      <c r="M37" t="str">
        <v>６年</v>
      </c>
      <c r="O37" t="str">
        <v>Ｍ時数</v>
      </c>
      <c r="P37" t="str">
        <v>食数</v>
      </c>
    </row>
    <row r="38">
      <c r="A38" t="str">
        <v>実施できる時数</v>
      </c>
      <c r="C38">
        <f>SUM(C4:C34)+O38</f>
        <v>76</v>
      </c>
      <c r="E38">
        <f>SUM(E4:E34)+O38</f>
        <v>79</v>
      </c>
      <c r="G38">
        <f>SUM(G4:G34)+O38</f>
        <v>84</v>
      </c>
      <c r="I38">
        <f>SUM(I4:I34)+O38</f>
        <v>87</v>
      </c>
      <c r="K38">
        <f>SUM(K4:K34)+O38</f>
        <v>87</v>
      </c>
      <c r="M38">
        <f>SUM(M4:M34)+O38</f>
        <v>87</v>
      </c>
      <c r="P38">
        <f>COUNTIF(P3:P34,"○")</f>
        <v>16</v>
      </c>
    </row>
    <row r="39">
      <c r="A39" t="str">
        <v>計画された時数</v>
      </c>
      <c r="C39">
        <v>76</v>
      </c>
      <c r="E39">
        <v>78</v>
      </c>
      <c r="G39">
        <v>83</v>
      </c>
      <c r="I39">
        <v>86</v>
      </c>
      <c r="K39">
        <v>85</v>
      </c>
      <c r="M39">
        <v>86</v>
      </c>
    </row>
    <row r="40">
      <c r="A40" t="str">
        <v>12月余剰時数</v>
      </c>
      <c r="C40">
        <f>C38-C39</f>
        <v>0</v>
      </c>
      <c r="E40">
        <f>E38-E39</f>
        <v>1</v>
      </c>
      <c r="G40">
        <f>G38-G39</f>
        <v>1</v>
      </c>
      <c r="I40">
        <f>I38-I39</f>
        <v>1</v>
      </c>
      <c r="K40">
        <f>K38-K39</f>
        <v>2</v>
      </c>
      <c r="M40">
        <f>M38-M39</f>
        <v>1</v>
      </c>
    </row>
    <row r="41">
      <c r="Q41">
        <v>3</v>
      </c>
    </row>
  </sheetData>
  <mergeCells count="40">
    <mergeCell ref="A1:D1"/>
    <mergeCell ref="O1:Q1"/>
    <mergeCell ref="A2:D2"/>
    <mergeCell ref="H2:O2"/>
    <mergeCell ref="C3:D3"/>
    <mergeCell ref="E3:F3"/>
    <mergeCell ref="G3:H3"/>
    <mergeCell ref="I3:J3"/>
    <mergeCell ref="K3:L3"/>
    <mergeCell ref="M3:N3"/>
    <mergeCell ref="B35:Q35"/>
    <mergeCell ref="D36:G36"/>
    <mergeCell ref="A37:B37"/>
    <mergeCell ref="C37:D37"/>
    <mergeCell ref="E37:F37"/>
    <mergeCell ref="G37:H37"/>
    <mergeCell ref="I37:J37"/>
    <mergeCell ref="K37:L37"/>
    <mergeCell ref="M37:N37"/>
    <mergeCell ref="M38:N38"/>
    <mergeCell ref="A39:B39"/>
    <mergeCell ref="C39:D39"/>
    <mergeCell ref="E39:F39"/>
    <mergeCell ref="G39:H39"/>
    <mergeCell ref="I39:J39"/>
    <mergeCell ref="K39:L39"/>
    <mergeCell ref="M39:N39"/>
    <mergeCell ref="A38:B38"/>
    <mergeCell ref="C38:D38"/>
    <mergeCell ref="E38:F38"/>
    <mergeCell ref="G38:H38"/>
    <mergeCell ref="I38:J38"/>
    <mergeCell ref="K38:L38"/>
    <mergeCell ref="M40:N40"/>
    <mergeCell ref="A40:B40"/>
    <mergeCell ref="C40:D40"/>
    <mergeCell ref="E40:F40"/>
    <mergeCell ref="G40:H40"/>
    <mergeCell ref="I40:J40"/>
    <mergeCell ref="K40:L40"/>
  </mergeCells>
  <pageMargins left="0.4724409448818898" right="0.4724409448818898" top="0.3937007874015748" bottom="0.4330708661417323" header="0.31496062992125984" footer="0.31496062992125984"/>
  <ignoredErrors>
    <ignoredError numberStoredAsText="1" sqref="A1:Q42"/>
  </ignoredErrors>
</worksheet>
</file>

<file path=xl/worksheets/sheet25.xml><?xml version="1.0" encoding="utf-8"?>
<worksheet xmlns="http://schemas.openxmlformats.org/spreadsheetml/2006/main" xmlns:r="http://schemas.openxmlformats.org/officeDocument/2006/relationships">
  <dimension ref="A1:Q42"/>
  <sheetViews>
    <sheetView workbookViewId="0" rightToLeft="0"/>
  </sheetViews>
  <sheetData>
    <row r="2">
      <c r="A2" t="str">
        <v>令和８年度</v>
      </c>
      <c r="F2">
        <v>1</v>
      </c>
      <c r="G2" t="str">
        <v>月</v>
      </c>
      <c r="H2" t="str">
        <v>授業時数･下校予定時刻一覧表</v>
      </c>
      <c r="Q2" t="str">
        <v>本宮市立本宮まゆみ小学校</v>
      </c>
    </row>
    <row r="3">
      <c r="A3" t="str">
        <v>日</v>
      </c>
      <c r="B3" t="str">
        <v>曜</v>
      </c>
      <c r="C3" t="str">
        <v>１学年</v>
      </c>
      <c r="E3" t="str">
        <v>２学年</v>
      </c>
      <c r="G3" t="str">
        <v>３学年</v>
      </c>
      <c r="I3" t="str">
        <v>４学年</v>
      </c>
      <c r="K3" t="str">
        <v>５学年</v>
      </c>
      <c r="M3" t="str">
        <v>６学年</v>
      </c>
      <c r="O3" t="str">
        <v>特別日程</v>
      </c>
      <c r="P3" t="str">
        <v>給食</v>
      </c>
      <c r="Q3" t="str">
        <v>行　　事　　等</v>
      </c>
    </row>
    <row r="4">
      <c r="A4">
        <v>1</v>
      </c>
      <c r="B4" t="str">
        <v>金</v>
      </c>
      <c r="Q4" t="str">
        <v xml:space="preserve">               元日</v>
      </c>
    </row>
    <row r="5">
      <c r="A5">
        <v>2</v>
      </c>
      <c r="B5" t="str">
        <v>土</v>
      </c>
      <c r="Q5" t="str">
        <v>空直日</v>
      </c>
    </row>
    <row r="6">
      <c r="A6">
        <v>3</v>
      </c>
      <c r="B6" t="str">
        <v>日</v>
      </c>
      <c r="Q6" t="str">
        <v>空直日</v>
      </c>
    </row>
    <row r="7">
      <c r="A7">
        <v>4</v>
      </c>
      <c r="B7" t="str">
        <v>月</v>
      </c>
      <c r="Q7" t="str">
        <v>仕事始め</v>
      </c>
    </row>
    <row r="8">
      <c r="A8">
        <v>5</v>
      </c>
      <c r="B8" t="str">
        <v>火</v>
      </c>
    </row>
    <row r="9">
      <c r="A9">
        <v>6</v>
      </c>
      <c r="B9" t="str">
        <v>水</v>
      </c>
    </row>
    <row r="10">
      <c r="A10">
        <v>7</v>
      </c>
      <c r="B10" t="str">
        <v>木</v>
      </c>
    </row>
    <row r="11">
      <c r="A11">
        <v>8</v>
      </c>
      <c r="B11" t="str">
        <v>金</v>
      </c>
      <c r="C11">
        <v>4</v>
      </c>
      <c r="D11">
        <v>0.5</v>
      </c>
      <c r="E11">
        <v>4</v>
      </c>
      <c r="F11">
        <v>0.5</v>
      </c>
      <c r="G11">
        <v>4</v>
      </c>
      <c r="H11">
        <v>0.5</v>
      </c>
      <c r="I11">
        <v>4</v>
      </c>
      <c r="J11">
        <v>0.5</v>
      </c>
      <c r="K11">
        <v>4</v>
      </c>
      <c r="L11">
        <v>0.5</v>
      </c>
      <c r="M11">
        <v>4</v>
      </c>
      <c r="N11">
        <v>0.5</v>
      </c>
      <c r="O11" t="str">
        <v>短縮</v>
      </c>
      <c r="P11" t="str">
        <v>×</v>
      </c>
      <c r="Q11" t="str">
        <v>【短】第3学期始業式、安全点検、職員会議、教育課程編成全体会3、学校行事・日課表・時数検討委員会2、◇PTA本部役員・監査の立候補・推薦受付（～1/13）</v>
      </c>
    </row>
    <row r="12">
      <c r="A12">
        <v>9</v>
      </c>
      <c r="B12" t="str">
        <v>土</v>
      </c>
      <c r="Q12" t="str">
        <v>身体測定（まゆさく・低）、教育目標検討委員会</v>
      </c>
    </row>
    <row r="13">
      <c r="A13">
        <v>10</v>
      </c>
      <c r="B13" t="str">
        <v>日</v>
      </c>
    </row>
    <row r="14">
      <c r="A14">
        <v>11</v>
      </c>
      <c r="B14" t="str">
        <v>月</v>
      </c>
      <c r="Q14" t="str">
        <v>成人の日</v>
      </c>
    </row>
    <row r="15">
      <c r="A15">
        <v>12</v>
      </c>
      <c r="B15" t="str">
        <v>火</v>
      </c>
      <c r="C15">
        <v>5</v>
      </c>
      <c r="D15">
        <v>0.6006944444444444</v>
      </c>
      <c r="E15">
        <v>5</v>
      </c>
      <c r="F15">
        <v>0.6006944444444444</v>
      </c>
      <c r="G15">
        <v>5</v>
      </c>
      <c r="H15">
        <v>0.6006944444444444</v>
      </c>
      <c r="I15">
        <v>6</v>
      </c>
      <c r="J15">
        <v>0.6006944444444444</v>
      </c>
      <c r="K15">
        <v>6</v>
      </c>
      <c r="L15">
        <v>0.6006944444444444</v>
      </c>
      <c r="M15">
        <v>6</v>
      </c>
      <c r="N15">
        <v>0.6006944444444444</v>
      </c>
      <c r="P15" t="str">
        <v>○</v>
      </c>
      <c r="Q15" t="str">
        <v>身体測定（まゆさく・低）、教育目標検討委員会　※口座振替日1</v>
      </c>
    </row>
    <row r="16" xml:space="preserve">
      <c r="A16">
        <v>13</v>
      </c>
      <c r="B16" t="str">
        <v>水</v>
      </c>
      <c r="C16">
        <v>5</v>
      </c>
      <c r="D16">
        <v>0.6180555555555556</v>
      </c>
      <c r="E16">
        <v>5</v>
      </c>
      <c r="F16">
        <v>0.6180555555555556</v>
      </c>
      <c r="G16">
        <v>6</v>
      </c>
      <c r="H16">
        <v>0.6527777777777778</v>
      </c>
      <c r="I16">
        <v>6</v>
      </c>
      <c r="J16">
        <v>0.6527777777777778</v>
      </c>
      <c r="K16">
        <v>6</v>
      </c>
      <c r="L16">
        <v>0.6527777777777778</v>
      </c>
      <c r="M16">
        <v>6</v>
      </c>
      <c r="N16">
        <v>0.6527777777777778</v>
      </c>
      <c r="P16" t="str">
        <v>○</v>
      </c>
      <c r="Q16" t="str" xml:space="preserve">
        <v xml:space="preserve">身体測定（3～6年）、※資源回収_x000d_
生徒指導・現職教育委員会</v>
      </c>
    </row>
    <row r="17" xml:space="preserve">
      <c r="A17">
        <v>14</v>
      </c>
      <c r="B17" t="str">
        <v>木</v>
      </c>
      <c r="C17">
        <v>4</v>
      </c>
      <c r="D17">
        <v>0.5694444444444444</v>
      </c>
      <c r="E17">
        <v>5</v>
      </c>
      <c r="F17">
        <v>0.6006944444444444</v>
      </c>
      <c r="G17">
        <v>6</v>
      </c>
      <c r="H17">
        <v>0.6354166666666666</v>
      </c>
      <c r="I17">
        <v>6</v>
      </c>
      <c r="J17">
        <v>0.6354166666666666</v>
      </c>
      <c r="K17">
        <v>6</v>
      </c>
      <c r="L17">
        <v>0.6354166666666666</v>
      </c>
      <c r="M17">
        <v>6</v>
      </c>
      <c r="N17">
        <v>0.6354166666666666</v>
      </c>
      <c r="P17" t="str">
        <v>○</v>
      </c>
      <c r="Q17" t="str" xml:space="preserve">
        <v xml:space="preserve">薬物乱用防止教室③６年、教育計画検討委員会1、※資源回収_x000d_
◇PTA役員選考委員会（書面開催、～21日）</v>
      </c>
    </row>
    <row r="18">
      <c r="A18">
        <v>15</v>
      </c>
      <c r="B18" t="str">
        <v>金</v>
      </c>
      <c r="C18">
        <v>5</v>
      </c>
      <c r="D18">
        <v>0.6180555555555556</v>
      </c>
      <c r="E18">
        <v>5</v>
      </c>
      <c r="F18">
        <v>0.6180555555555556</v>
      </c>
      <c r="G18">
        <v>5</v>
      </c>
      <c r="H18">
        <v>0.6180555555555556</v>
      </c>
      <c r="I18">
        <v>5</v>
      </c>
      <c r="J18">
        <v>0.6180555555555556</v>
      </c>
      <c r="K18">
        <v>5</v>
      </c>
      <c r="L18">
        <v>0.6180555555555556</v>
      </c>
      <c r="M18">
        <v>5</v>
      </c>
      <c r="N18">
        <v>0.6180555555555556</v>
      </c>
      <c r="P18" t="str">
        <v>○</v>
      </c>
      <c r="Q18" t="str">
        <v>教育計画検討委員会2、※資源回収</v>
      </c>
    </row>
    <row r="19">
      <c r="A19">
        <v>16</v>
      </c>
      <c r="B19" t="str">
        <v>土</v>
      </c>
    </row>
    <row r="20">
      <c r="A20">
        <v>17</v>
      </c>
      <c r="B20" t="str">
        <v>日</v>
      </c>
    </row>
    <row r="21">
      <c r="A21">
        <v>18</v>
      </c>
      <c r="B21" t="str">
        <v>月</v>
      </c>
      <c r="C21">
        <v>4</v>
      </c>
      <c r="D21">
        <v>0.5868055555555556</v>
      </c>
      <c r="E21">
        <v>4</v>
      </c>
      <c r="F21">
        <v>0.5868055555555556</v>
      </c>
      <c r="G21">
        <v>5</v>
      </c>
      <c r="H21">
        <v>0.6180555555555556</v>
      </c>
      <c r="I21">
        <v>5</v>
      </c>
      <c r="J21">
        <v>0.6458333333333334</v>
      </c>
      <c r="K21">
        <v>5</v>
      </c>
      <c r="L21">
        <v>0.6458333333333334</v>
      </c>
      <c r="M21">
        <v>5</v>
      </c>
      <c r="N21">
        <v>0.6458333333333334</v>
      </c>
      <c r="P21" t="str">
        <v>○</v>
      </c>
      <c r="Q21" t="str">
        <v>児童会活動日、教育計画検討委員会3</v>
      </c>
    </row>
    <row r="22">
      <c r="A22">
        <v>19</v>
      </c>
      <c r="B22" t="str">
        <v>火</v>
      </c>
      <c r="C22">
        <v>5</v>
      </c>
      <c r="D22">
        <v>0.6006944444444444</v>
      </c>
      <c r="E22">
        <v>5</v>
      </c>
      <c r="F22">
        <v>0.6006944444444444</v>
      </c>
      <c r="G22">
        <v>5</v>
      </c>
      <c r="H22">
        <v>0.6006944444444444</v>
      </c>
      <c r="I22">
        <v>6</v>
      </c>
      <c r="J22">
        <v>0.6354166666666666</v>
      </c>
      <c r="K22">
        <v>6</v>
      </c>
      <c r="L22">
        <v>0.6354166666666666</v>
      </c>
      <c r="M22">
        <v>6</v>
      </c>
      <c r="N22">
        <v>0.6354166666666666</v>
      </c>
      <c r="P22" t="str">
        <v>○</v>
      </c>
      <c r="Q22" t="str">
        <v>クラブ活動(上:ク1)、モトム号</v>
      </c>
    </row>
    <row r="23" xml:space="preserve">
      <c r="A23">
        <v>20</v>
      </c>
      <c r="B23" t="str">
        <v>水</v>
      </c>
      <c r="C23">
        <v>5</v>
      </c>
      <c r="D23">
        <v>0.5833333333333334</v>
      </c>
      <c r="E23">
        <v>5</v>
      </c>
      <c r="F23">
        <v>0.5833333333333334</v>
      </c>
      <c r="G23">
        <v>5</v>
      </c>
      <c r="H23">
        <v>0.5833333333333334</v>
      </c>
      <c r="I23">
        <v>5</v>
      </c>
      <c r="J23">
        <v>0.5833333333333334</v>
      </c>
      <c r="K23">
        <v>5</v>
      </c>
      <c r="L23">
        <v>0.5833333333333334</v>
      </c>
      <c r="M23">
        <v>5</v>
      </c>
      <c r="N23">
        <v>0.5833333333333334</v>
      </c>
      <c r="O23" t="str">
        <v>短縮</v>
      </c>
      <c r="P23" t="str">
        <v>○</v>
      </c>
      <c r="Q23" t="str" xml:space="preserve">
        <v xml:space="preserve">【短】職員会議、教育課程編成全体会4_x000d_
◇PTA役員選考委員会、PTA本部役員会6</v>
      </c>
    </row>
    <row r="24">
      <c r="A24">
        <v>21</v>
      </c>
      <c r="B24" t="str">
        <v>木</v>
      </c>
      <c r="C24">
        <v>4</v>
      </c>
      <c r="D24">
        <v>0.5416666666666666</v>
      </c>
      <c r="E24">
        <v>4</v>
      </c>
      <c r="F24">
        <v>0.5416666666666666</v>
      </c>
      <c r="G24">
        <v>4</v>
      </c>
      <c r="H24">
        <v>0.5416666666666666</v>
      </c>
      <c r="I24">
        <v>4</v>
      </c>
      <c r="J24">
        <v>0.5416666666666666</v>
      </c>
      <c r="K24">
        <v>4</v>
      </c>
      <c r="L24">
        <v>0.5416666666666666</v>
      </c>
      <c r="M24">
        <v>4</v>
      </c>
      <c r="N24">
        <v>0.5416666666666666</v>
      </c>
      <c r="O24" t="str">
        <v>短縮</v>
      </c>
      <c r="P24" t="str">
        <v>○</v>
      </c>
      <c r="Q24" t="str">
        <v>【短】小教研研究物展示発表会（午後、オンライン）</v>
      </c>
    </row>
    <row r="25">
      <c r="A25">
        <v>22</v>
      </c>
      <c r="B25" t="str">
        <v>金</v>
      </c>
      <c r="C25">
        <v>5</v>
      </c>
      <c r="D25">
        <v>0.5</v>
      </c>
      <c r="E25">
        <v>5</v>
      </c>
      <c r="F25">
        <v>0.5</v>
      </c>
      <c r="G25">
        <v>5</v>
      </c>
      <c r="H25">
        <v>0.5</v>
      </c>
      <c r="I25">
        <v>5</v>
      </c>
      <c r="J25">
        <v>0.5</v>
      </c>
      <c r="K25">
        <v>5</v>
      </c>
      <c r="L25">
        <v>0.5</v>
      </c>
      <c r="M25">
        <v>5</v>
      </c>
      <c r="N25">
        <v>0.5</v>
      </c>
      <c r="P25" t="str">
        <v>○</v>
      </c>
      <c r="Q25" t="str">
        <v>教育計画検討委員会4</v>
      </c>
    </row>
    <row r="26">
      <c r="A26">
        <v>23</v>
      </c>
      <c r="B26" t="str">
        <v>土</v>
      </c>
    </row>
    <row r="27">
      <c r="A27">
        <v>24</v>
      </c>
      <c r="B27" t="str">
        <v>日</v>
      </c>
    </row>
    <row r="28">
      <c r="A28">
        <v>25</v>
      </c>
      <c r="B28" t="str">
        <v>月</v>
      </c>
      <c r="C28">
        <v>4</v>
      </c>
      <c r="D28">
        <v>0.5868055555555556</v>
      </c>
      <c r="E28">
        <v>4</v>
      </c>
      <c r="F28">
        <v>0.5868055555555556</v>
      </c>
      <c r="G28">
        <v>5</v>
      </c>
      <c r="H28">
        <v>0.6180555555555556</v>
      </c>
      <c r="I28">
        <v>5</v>
      </c>
      <c r="J28">
        <v>0.6180555555555556</v>
      </c>
      <c r="K28">
        <v>5</v>
      </c>
      <c r="L28">
        <v>0.6180555555555556</v>
      </c>
      <c r="M28">
        <v>5</v>
      </c>
      <c r="N28">
        <v>0.6180555555555556</v>
      </c>
      <c r="P28" t="str">
        <v>○</v>
      </c>
      <c r="Q28" t="str">
        <v>教育計画検討委員会5　※2月時間割提出　※口座振替日2</v>
      </c>
    </row>
    <row r="29">
      <c r="A29">
        <v>26</v>
      </c>
      <c r="B29" t="str">
        <v>火</v>
      </c>
      <c r="C29">
        <v>5</v>
      </c>
      <c r="D29">
        <v>0.6006944444444444</v>
      </c>
      <c r="E29">
        <v>5</v>
      </c>
      <c r="F29">
        <v>0.6006944444444444</v>
      </c>
      <c r="G29">
        <v>5</v>
      </c>
      <c r="H29">
        <v>0.6006944444444444</v>
      </c>
      <c r="I29">
        <v>6</v>
      </c>
      <c r="J29">
        <v>0.6354166666666666</v>
      </c>
      <c r="K29">
        <v>6</v>
      </c>
      <c r="L29">
        <v>0.6354166666666666</v>
      </c>
      <c r="M29">
        <v>6</v>
      </c>
      <c r="N29">
        <v>0.6354166666666666</v>
      </c>
      <c r="P29" t="str">
        <v>○</v>
      </c>
      <c r="Q29" t="str">
        <v>クラブ活動(上:ク1)、教育計画検討委員会6</v>
      </c>
    </row>
    <row r="30">
      <c r="A30">
        <v>27</v>
      </c>
      <c r="B30" t="str">
        <v>水</v>
      </c>
      <c r="C30">
        <v>5</v>
      </c>
      <c r="D30">
        <v>0.6180555555555556</v>
      </c>
      <c r="E30">
        <v>5</v>
      </c>
      <c r="F30">
        <v>0.6180555555555556</v>
      </c>
      <c r="G30">
        <v>5</v>
      </c>
      <c r="H30">
        <v>0.6180555555555556</v>
      </c>
      <c r="I30">
        <v>6</v>
      </c>
      <c r="J30">
        <v>0.6527777777777778</v>
      </c>
      <c r="K30">
        <v>6</v>
      </c>
      <c r="L30">
        <v>0.6527777777777778</v>
      </c>
      <c r="M30">
        <v>6</v>
      </c>
      <c r="N30">
        <v>0.6527777777777778</v>
      </c>
      <c r="P30" t="str">
        <v>○</v>
      </c>
      <c r="Q30" t="str">
        <v>教育課程編成全体会5</v>
      </c>
    </row>
    <row r="31">
      <c r="A31">
        <v>28</v>
      </c>
      <c r="B31" t="str">
        <v>木</v>
      </c>
      <c r="C31">
        <v>4</v>
      </c>
      <c r="D31">
        <v>0.5694444444444444</v>
      </c>
      <c r="E31">
        <v>5</v>
      </c>
      <c r="F31">
        <v>0.6006944444444444</v>
      </c>
      <c r="G31">
        <v>5</v>
      </c>
      <c r="H31">
        <v>0.6006944444444444</v>
      </c>
      <c r="I31">
        <v>6</v>
      </c>
      <c r="J31">
        <v>0.6354166666666666</v>
      </c>
      <c r="K31">
        <v>6</v>
      </c>
      <c r="L31">
        <v>0.6354166666666666</v>
      </c>
      <c r="M31">
        <v>6</v>
      </c>
      <c r="N31">
        <v>0.6354166666666666</v>
      </c>
      <c r="P31" t="str">
        <v>○</v>
      </c>
      <c r="Q31" t="str">
        <v>教育計画検討委員会7</v>
      </c>
    </row>
    <row r="32" xml:space="preserve">
      <c r="A32">
        <v>29</v>
      </c>
      <c r="B32" t="str">
        <v>金</v>
      </c>
      <c r="C32">
        <v>4</v>
      </c>
      <c r="D32">
        <v>0.5</v>
      </c>
      <c r="E32">
        <v>4</v>
      </c>
      <c r="F32">
        <v>0.5</v>
      </c>
      <c r="G32">
        <v>6</v>
      </c>
      <c r="H32">
        <v>0.6527777777777778</v>
      </c>
      <c r="I32">
        <v>6</v>
      </c>
      <c r="J32">
        <v>0.6527777777777778</v>
      </c>
      <c r="K32">
        <v>6</v>
      </c>
      <c r="L32">
        <v>0.6527777777777778</v>
      </c>
      <c r="M32">
        <v>6</v>
      </c>
      <c r="N32">
        <v>0.6527777777777778</v>
      </c>
      <c r="P32" t="str">
        <v>×</v>
      </c>
      <c r="Q32" t="str" xml:space="preserve">
        <v xml:space="preserve">【短】スキー教室(中・高:行2、体4)_x000d_
※月末統計</v>
      </c>
    </row>
    <row r="33">
      <c r="A33">
        <v>30</v>
      </c>
      <c r="B33" t="str">
        <v>土</v>
      </c>
    </row>
    <row r="34">
      <c r="A34">
        <v>31</v>
      </c>
      <c r="B34" t="str">
        <v>日</v>
      </c>
    </row>
    <row r="35" xml:space="preserve">
      <c r="A35" t="str" xml:space="preserve">
        <v xml:space="preserve">1月の留意点_x000d_
</v>
      </c>
    </row>
    <row r="36">
      <c r="B36">
        <f>F2</f>
        <v>1</v>
      </c>
      <c r="C36" t="str">
        <v>月</v>
      </c>
      <c r="D36" t="str">
        <v>実施時数予定</v>
      </c>
    </row>
    <row r="37">
      <c r="C37" t="str">
        <v>１年</v>
      </c>
      <c r="E37" t="str">
        <v>２年</v>
      </c>
      <c r="G37" t="str">
        <v>３年</v>
      </c>
      <c r="I37" t="str">
        <v>４年</v>
      </c>
      <c r="K37" t="str">
        <v>５年</v>
      </c>
      <c r="M37" t="str">
        <v>６年</v>
      </c>
      <c r="P37" t="str">
        <v>食数</v>
      </c>
    </row>
    <row r="38">
      <c r="A38" t="str">
        <v>実施できる時数</v>
      </c>
      <c r="C38">
        <f>SUM(C4:C34)+O38</f>
        <v>68</v>
      </c>
      <c r="E38">
        <f>SUM(E4:E34)+O38</f>
        <v>70</v>
      </c>
      <c r="G38">
        <f>SUM(G4:G34)+O38</f>
        <v>76</v>
      </c>
      <c r="I38">
        <f>SUM(I4:I34)+O38</f>
        <v>81</v>
      </c>
      <c r="K38">
        <f>SUM(K4:K34)+O38</f>
        <v>81</v>
      </c>
      <c r="M38">
        <f>SUM(M4:M34)+O38</f>
        <v>81</v>
      </c>
      <c r="P38">
        <f>COUNTIF(P4:P34,"○")</f>
        <v>13</v>
      </c>
    </row>
    <row r="39">
      <c r="A39" t="str">
        <v>計画された時数</v>
      </c>
      <c r="C39">
        <v>67</v>
      </c>
      <c r="E39">
        <v>70</v>
      </c>
      <c r="G39">
        <v>76</v>
      </c>
      <c r="I39">
        <v>81</v>
      </c>
      <c r="K39">
        <v>81</v>
      </c>
      <c r="M39">
        <v>81</v>
      </c>
    </row>
    <row r="40">
      <c r="A40" t="str">
        <v>1月余剰時数</v>
      </c>
      <c r="C40">
        <f>C38-C39</f>
        <v>1</v>
      </c>
      <c r="E40">
        <f>E38-E39</f>
        <v>0</v>
      </c>
      <c r="G40">
        <f>G38-G39</f>
        <v>0</v>
      </c>
      <c r="I40">
        <f>I38-I39</f>
        <v>0</v>
      </c>
      <c r="K40">
        <f>K38-K39</f>
        <v>0</v>
      </c>
      <c r="M40">
        <f>M38-M39</f>
        <v>0</v>
      </c>
    </row>
    <row r="41">
      <c r="Q41">
        <v>3</v>
      </c>
    </row>
  </sheetData>
  <mergeCells count="40">
    <mergeCell ref="A40:B40"/>
    <mergeCell ref="C40:D40"/>
    <mergeCell ref="M39:N39"/>
    <mergeCell ref="A39:B39"/>
    <mergeCell ref="C39:D39"/>
    <mergeCell ref="E39:F39"/>
    <mergeCell ref="G39:H39"/>
    <mergeCell ref="I39:J39"/>
    <mergeCell ref="P1:Q1"/>
    <mergeCell ref="A2:D2"/>
    <mergeCell ref="H2:O2"/>
    <mergeCell ref="A37:B37"/>
    <mergeCell ref="E40:F40"/>
    <mergeCell ref="G40:H40"/>
    <mergeCell ref="C37:D37"/>
    <mergeCell ref="E37:F37"/>
    <mergeCell ref="B35:Q35"/>
    <mergeCell ref="D36:G36"/>
    <mergeCell ref="A38:B38"/>
    <mergeCell ref="C38:D38"/>
    <mergeCell ref="E38:F38"/>
    <mergeCell ref="G38:H38"/>
    <mergeCell ref="K37:L37"/>
    <mergeCell ref="M37:N37"/>
    <mergeCell ref="I38:J38"/>
    <mergeCell ref="K38:L38"/>
    <mergeCell ref="M38:N38"/>
    <mergeCell ref="I40:J40"/>
    <mergeCell ref="G37:H37"/>
    <mergeCell ref="I37:J37"/>
    <mergeCell ref="K40:L40"/>
    <mergeCell ref="M40:N40"/>
    <mergeCell ref="K39:L39"/>
    <mergeCell ref="M3:N3"/>
    <mergeCell ref="A1:D1"/>
    <mergeCell ref="C3:D3"/>
    <mergeCell ref="E3:F3"/>
    <mergeCell ref="G3:H3"/>
    <mergeCell ref="I3:J3"/>
    <mergeCell ref="K3:L3"/>
  </mergeCells>
  <pageMargins left="0.31496062992125984" right="0.31496062992125984" top="0.3937007874015748" bottom="0.3937007874015748" header="0.31496062992125984" footer="0.31496062992125984"/>
  <ignoredErrors>
    <ignoredError numberStoredAsText="1" sqref="A1:Q42"/>
  </ignoredErrors>
</worksheet>
</file>

<file path=xl/worksheets/sheet26.xml><?xml version="1.0" encoding="utf-8"?>
<worksheet xmlns="http://schemas.openxmlformats.org/spreadsheetml/2006/main" xmlns:r="http://schemas.openxmlformats.org/officeDocument/2006/relationships">
  <dimension ref="A1:Q42"/>
  <sheetViews>
    <sheetView workbookViewId="0" rightToLeft="0"/>
  </sheetViews>
  <sheetData>
    <row r="2">
      <c r="A2" t="str">
        <v>令和７年度</v>
      </c>
      <c r="F2">
        <v>1</v>
      </c>
      <c r="G2" t="str">
        <v>月</v>
      </c>
      <c r="H2" t="str">
        <v>授業時数･下校予定時刻一覧表(12/25版)</v>
      </c>
      <c r="Q2" t="str">
        <v>本宮市立本宮まゆみ小学校</v>
      </c>
    </row>
    <row r="3">
      <c r="A3" t="str">
        <v>日</v>
      </c>
      <c r="B3" t="str">
        <v>曜</v>
      </c>
      <c r="C3" t="str">
        <v>１学年</v>
      </c>
      <c r="E3" t="str">
        <v>２学年</v>
      </c>
      <c r="G3" t="str">
        <v>３学年</v>
      </c>
      <c r="I3" t="str">
        <v>４学年</v>
      </c>
      <c r="K3" t="str">
        <v>５学年</v>
      </c>
      <c r="M3" t="str">
        <v>６学年</v>
      </c>
      <c r="O3" t="str">
        <v>特別日程</v>
      </c>
      <c r="P3" t="str">
        <v>給食</v>
      </c>
      <c r="Q3" t="str">
        <v>行　　事　　等</v>
      </c>
    </row>
    <row r="4">
      <c r="A4">
        <v>1</v>
      </c>
      <c r="B4" t="str">
        <v>木</v>
      </c>
      <c r="Q4" t="str">
        <v xml:space="preserve">               元日</v>
      </c>
    </row>
    <row r="5">
      <c r="A5">
        <v>2</v>
      </c>
      <c r="B5" t="str">
        <v>金</v>
      </c>
      <c r="Q5" t="str">
        <v>空直日</v>
      </c>
    </row>
    <row r="6">
      <c r="A6">
        <v>3</v>
      </c>
      <c r="B6" t="str">
        <v>土</v>
      </c>
    </row>
    <row r="7">
      <c r="A7">
        <v>4</v>
      </c>
      <c r="B7" t="str">
        <v>日</v>
      </c>
    </row>
    <row r="8">
      <c r="A8">
        <v>5</v>
      </c>
      <c r="B8" t="str">
        <v>月</v>
      </c>
      <c r="Q8" t="str">
        <v>仕事始め</v>
      </c>
    </row>
    <row r="9">
      <c r="A9">
        <v>6</v>
      </c>
      <c r="B9" t="str">
        <v>火</v>
      </c>
    </row>
    <row r="10">
      <c r="A10">
        <v>7</v>
      </c>
      <c r="B10" t="str">
        <v>水</v>
      </c>
    </row>
    <row r="11">
      <c r="A11">
        <v>8</v>
      </c>
      <c r="B11" t="str">
        <v>木</v>
      </c>
      <c r="C11">
        <v>4</v>
      </c>
      <c r="D11">
        <v>0.5</v>
      </c>
      <c r="E11">
        <v>4</v>
      </c>
      <c r="F11">
        <v>0.5</v>
      </c>
      <c r="G11">
        <v>4</v>
      </c>
      <c r="H11">
        <v>0.5</v>
      </c>
      <c r="I11">
        <v>4</v>
      </c>
      <c r="J11">
        <v>0.5</v>
      </c>
      <c r="K11">
        <v>4</v>
      </c>
      <c r="L11">
        <v>0.5</v>
      </c>
      <c r="M11">
        <v>4</v>
      </c>
      <c r="N11">
        <v>0.5</v>
      </c>
      <c r="O11" t="str">
        <v>特別</v>
      </c>
      <c r="P11" t="str">
        <v>×</v>
      </c>
      <c r="Q11" t="str">
        <v>【特】第3学期始業式、安全点検、職員会議、教育課程編成全体会3、学校行事・日課表・時数検討委員会2、◇PTA本部役員・監査の立候補・推薦受付（～1/13）</v>
      </c>
    </row>
    <row r="12">
      <c r="A12">
        <v>9</v>
      </c>
      <c r="B12" t="str">
        <v>金</v>
      </c>
      <c r="C12">
        <v>4</v>
      </c>
      <c r="D12">
        <v>0.5868055555555556</v>
      </c>
      <c r="E12">
        <v>4</v>
      </c>
      <c r="F12">
        <v>0.5868055555555556</v>
      </c>
      <c r="G12">
        <v>5</v>
      </c>
      <c r="H12">
        <v>0.6180555555555556</v>
      </c>
      <c r="I12">
        <v>5</v>
      </c>
      <c r="J12">
        <v>0.6180555555555556</v>
      </c>
      <c r="K12">
        <v>5</v>
      </c>
      <c r="L12">
        <v>0.6180555555555556</v>
      </c>
      <c r="M12">
        <v>5</v>
      </c>
      <c r="N12">
        <v>0.6180555555555556</v>
      </c>
      <c r="P12" t="str">
        <v>○</v>
      </c>
      <c r="Q12" t="str">
        <v>身体測定（まゆさく・低）、教育目標検討委員会</v>
      </c>
    </row>
    <row r="13">
      <c r="A13">
        <v>10</v>
      </c>
      <c r="B13" t="str">
        <v>土</v>
      </c>
    </row>
    <row r="14">
      <c r="A14">
        <v>11</v>
      </c>
      <c r="B14" t="str">
        <v>日</v>
      </c>
    </row>
    <row r="15">
      <c r="A15">
        <v>12</v>
      </c>
      <c r="B15" t="str">
        <v>月</v>
      </c>
      <c r="Q15" t="str">
        <v xml:space="preserve">               成人の日</v>
      </c>
    </row>
    <row r="16" xml:space="preserve">
      <c r="A16">
        <v>13</v>
      </c>
      <c r="B16" t="str">
        <v>火</v>
      </c>
      <c r="C16">
        <v>5</v>
      </c>
      <c r="D16">
        <v>0.6006944444444444</v>
      </c>
      <c r="E16">
        <v>5</v>
      </c>
      <c r="F16">
        <v>0.6006944444444444</v>
      </c>
      <c r="G16">
        <v>6</v>
      </c>
      <c r="H16">
        <v>0.6354166666666666</v>
      </c>
      <c r="I16">
        <v>6</v>
      </c>
      <c r="J16">
        <v>0.6354166666666666</v>
      </c>
      <c r="K16">
        <v>6</v>
      </c>
      <c r="L16">
        <v>0.6354166666666666</v>
      </c>
      <c r="M16">
        <v>6</v>
      </c>
      <c r="N16">
        <v>0.6354166666666666</v>
      </c>
      <c r="P16" t="str">
        <v>○</v>
      </c>
      <c r="Q16" t="str" xml:space="preserve">
        <v xml:space="preserve">身体測定（3～6年）、※口座振替日1_x000d_
生徒指導・現職教育委員会</v>
      </c>
    </row>
    <row r="17" xml:space="preserve">
      <c r="A17">
        <v>14</v>
      </c>
      <c r="B17" t="str">
        <v>水</v>
      </c>
      <c r="C17">
        <v>4</v>
      </c>
      <c r="D17">
        <v>0.5868055555555556</v>
      </c>
      <c r="E17">
        <v>5</v>
      </c>
      <c r="F17">
        <v>0.6180555555555556</v>
      </c>
      <c r="G17">
        <v>6</v>
      </c>
      <c r="H17">
        <v>0.6527777777777778</v>
      </c>
      <c r="I17">
        <v>6</v>
      </c>
      <c r="J17">
        <v>0.6527777777777778</v>
      </c>
      <c r="K17">
        <v>6</v>
      </c>
      <c r="L17">
        <v>0.6527777777777778</v>
      </c>
      <c r="M17">
        <v>6</v>
      </c>
      <c r="N17">
        <v>0.6527777777777778</v>
      </c>
      <c r="P17" t="str">
        <v>○</v>
      </c>
      <c r="Q17" t="str" xml:space="preserve">
        <v xml:space="preserve">【短】薬物乱用防止教室③６年、教育計画検討委員会1、※資源回収_x000d_
◇PTA役員選考委員会（書面開催、～21日）</v>
      </c>
    </row>
    <row r="18">
      <c r="A18">
        <v>15</v>
      </c>
      <c r="B18" t="str">
        <v>木</v>
      </c>
      <c r="C18">
        <v>4</v>
      </c>
      <c r="D18">
        <v>0.5694444444444444</v>
      </c>
      <c r="E18">
        <v>5</v>
      </c>
      <c r="F18">
        <v>0.6006944444444444</v>
      </c>
      <c r="G18">
        <v>6</v>
      </c>
      <c r="H18">
        <v>0.6354166666666666</v>
      </c>
      <c r="I18">
        <v>6</v>
      </c>
      <c r="J18">
        <v>0.6354166666666666</v>
      </c>
      <c r="K18">
        <v>6</v>
      </c>
      <c r="L18">
        <v>0.6354166666666666</v>
      </c>
      <c r="M18">
        <v>6</v>
      </c>
      <c r="N18">
        <v>0.6354166666666666</v>
      </c>
      <c r="P18" t="str">
        <v>○</v>
      </c>
      <c r="Q18" t="str">
        <v>教育計画検討委員会2、※資源回収</v>
      </c>
    </row>
    <row r="19">
      <c r="A19">
        <v>16</v>
      </c>
      <c r="B19" t="str">
        <v>金</v>
      </c>
      <c r="C19">
        <v>5</v>
      </c>
      <c r="D19">
        <v>0.6180555555555556</v>
      </c>
      <c r="E19">
        <v>5</v>
      </c>
      <c r="F19">
        <v>0.6180555555555556</v>
      </c>
      <c r="G19">
        <v>5</v>
      </c>
      <c r="H19">
        <v>0.6180555555555556</v>
      </c>
      <c r="I19">
        <v>5</v>
      </c>
      <c r="J19">
        <v>0.6180555555555556</v>
      </c>
      <c r="K19">
        <v>5</v>
      </c>
      <c r="L19">
        <v>0.6180555555555556</v>
      </c>
      <c r="M19">
        <v>5</v>
      </c>
      <c r="N19">
        <v>0.6180555555555556</v>
      </c>
      <c r="P19" t="str">
        <v>○</v>
      </c>
      <c r="Q19" t="str">
        <v>教育計画検討委員会3、※資源回収</v>
      </c>
    </row>
    <row r="20">
      <c r="A20">
        <v>17</v>
      </c>
      <c r="B20" t="str">
        <v>金</v>
      </c>
    </row>
    <row r="21">
      <c r="A21">
        <v>18</v>
      </c>
      <c r="B21" t="str">
        <v>土</v>
      </c>
    </row>
    <row r="22">
      <c r="A22">
        <v>19</v>
      </c>
      <c r="B22" t="str">
        <v>月</v>
      </c>
      <c r="C22">
        <v>4</v>
      </c>
      <c r="D22">
        <v>0.5868055555555556</v>
      </c>
      <c r="E22">
        <v>4</v>
      </c>
      <c r="F22">
        <v>0.5868055555555556</v>
      </c>
      <c r="G22">
        <v>5</v>
      </c>
      <c r="H22">
        <v>0.6180555555555556</v>
      </c>
      <c r="I22">
        <v>5</v>
      </c>
      <c r="J22">
        <v>0.6458333333333334</v>
      </c>
      <c r="K22">
        <v>5</v>
      </c>
      <c r="L22">
        <v>0.6458333333333334</v>
      </c>
      <c r="M22">
        <v>5</v>
      </c>
      <c r="N22">
        <v>0.6458333333333334</v>
      </c>
      <c r="P22" t="str">
        <v>○</v>
      </c>
      <c r="Q22" t="str">
        <v>児童会活動日</v>
      </c>
    </row>
    <row r="23">
      <c r="A23">
        <v>20</v>
      </c>
      <c r="B23" t="str">
        <v>火</v>
      </c>
      <c r="C23">
        <v>5</v>
      </c>
      <c r="D23">
        <v>0.5833333333333334</v>
      </c>
      <c r="E23">
        <v>5</v>
      </c>
      <c r="F23">
        <v>0.5833333333333334</v>
      </c>
      <c r="G23">
        <v>5</v>
      </c>
      <c r="H23">
        <v>0.5833333333333334</v>
      </c>
      <c r="I23">
        <v>5</v>
      </c>
      <c r="J23">
        <v>0.5833333333333334</v>
      </c>
      <c r="K23">
        <v>5</v>
      </c>
      <c r="L23">
        <v>0.5833333333333334</v>
      </c>
      <c r="M23">
        <v>5</v>
      </c>
      <c r="N23">
        <v>0.5833333333333334</v>
      </c>
      <c r="O23" t="str">
        <v>短縮</v>
      </c>
      <c r="P23" t="str">
        <v>○</v>
      </c>
      <c r="Q23" t="str">
        <v>【短】職員会議、教育課程編成全体会4</v>
      </c>
    </row>
    <row r="24" xml:space="preserve">
      <c r="A24">
        <v>21</v>
      </c>
      <c r="B24" t="str">
        <v>水</v>
      </c>
      <c r="C24">
        <v>5</v>
      </c>
      <c r="D24">
        <v>0.6180555555555556</v>
      </c>
      <c r="E24">
        <v>5</v>
      </c>
      <c r="F24">
        <v>0.6180555555555556</v>
      </c>
      <c r="G24">
        <v>6</v>
      </c>
      <c r="H24">
        <v>0.6527777777777778</v>
      </c>
      <c r="I24">
        <v>6</v>
      </c>
      <c r="J24">
        <v>0.6527777777777778</v>
      </c>
      <c r="K24">
        <v>6</v>
      </c>
      <c r="L24">
        <v>0.6527777777777778</v>
      </c>
      <c r="M24">
        <v>6</v>
      </c>
      <c r="N24">
        <v>0.6527777777777778</v>
      </c>
      <c r="P24" t="str">
        <v>○</v>
      </c>
      <c r="Q24" t="str" xml:space="preserve">
        <v xml:space="preserve">【短】教育計画検討委員会4_x000d_
◇PTA本部役員会6</v>
      </c>
    </row>
    <row r="25">
      <c r="A25">
        <v>22</v>
      </c>
      <c r="B25" t="str">
        <v>木</v>
      </c>
      <c r="C25">
        <v>4</v>
      </c>
      <c r="D25">
        <v>0.5</v>
      </c>
      <c r="E25">
        <v>4</v>
      </c>
      <c r="F25">
        <v>0.5</v>
      </c>
      <c r="G25">
        <v>4</v>
      </c>
      <c r="H25">
        <v>0.5</v>
      </c>
      <c r="I25">
        <v>4</v>
      </c>
      <c r="J25">
        <v>0.5</v>
      </c>
      <c r="K25">
        <v>4</v>
      </c>
      <c r="L25">
        <v>0.5</v>
      </c>
      <c r="M25">
        <v>4</v>
      </c>
      <c r="N25">
        <v>0.5</v>
      </c>
      <c r="O25" t="str">
        <v>短縮</v>
      </c>
      <c r="P25" t="str">
        <v>×</v>
      </c>
      <c r="Q25" t="str">
        <v>【短】小教研研究物展示発表会（午後、オンライン）</v>
      </c>
    </row>
    <row r="26">
      <c r="A26">
        <v>23</v>
      </c>
      <c r="B26" t="str">
        <v>金</v>
      </c>
      <c r="C26">
        <v>5</v>
      </c>
      <c r="D26">
        <v>0.6180555555555556</v>
      </c>
      <c r="E26">
        <v>5</v>
      </c>
      <c r="F26">
        <v>0.6180555555555556</v>
      </c>
      <c r="G26">
        <v>5</v>
      </c>
      <c r="H26">
        <v>0.6180555555555556</v>
      </c>
      <c r="I26">
        <v>5</v>
      </c>
      <c r="J26">
        <v>0.6180555555555556</v>
      </c>
      <c r="K26">
        <v>5</v>
      </c>
      <c r="L26">
        <v>0.6180555555555556</v>
      </c>
      <c r="M26">
        <v>6</v>
      </c>
      <c r="N26">
        <v>0.6527777777777778</v>
      </c>
      <c r="P26" t="str">
        <v>○</v>
      </c>
      <c r="Q26" t="str">
        <v>教育計画検討委員会5　※2月時間割提出</v>
      </c>
    </row>
    <row r="27">
      <c r="A27">
        <v>24</v>
      </c>
      <c r="B27" t="str">
        <v>土</v>
      </c>
    </row>
    <row r="28">
      <c r="A28">
        <v>25</v>
      </c>
      <c r="B28" t="str">
        <v>日</v>
      </c>
    </row>
    <row r="29">
      <c r="A29">
        <v>26</v>
      </c>
      <c r="B29" t="str">
        <v>月</v>
      </c>
      <c r="C29">
        <v>4</v>
      </c>
      <c r="D29">
        <v>0.5416666666666666</v>
      </c>
      <c r="E29">
        <v>4</v>
      </c>
      <c r="F29">
        <v>0.5416666666666666</v>
      </c>
      <c r="G29">
        <v>6</v>
      </c>
      <c r="H29">
        <v>0.6805555555555556</v>
      </c>
      <c r="I29">
        <v>6</v>
      </c>
      <c r="J29">
        <v>0.6805555555555556</v>
      </c>
      <c r="K29">
        <v>6</v>
      </c>
      <c r="L29">
        <v>0.6805555555555556</v>
      </c>
      <c r="M29">
        <v>6</v>
      </c>
      <c r="N29">
        <v>0.6805555555555556</v>
      </c>
      <c r="O29" t="str">
        <v>短縮</v>
      </c>
      <c r="P29" t="str">
        <v>×</v>
      </c>
      <c r="Q29" t="str">
        <v>【短】スキー教室(中・高:行2、体4)　※口座振替日2</v>
      </c>
    </row>
    <row r="30">
      <c r="A30">
        <v>27</v>
      </c>
      <c r="B30" t="str">
        <v>火</v>
      </c>
      <c r="C30">
        <v>5</v>
      </c>
      <c r="D30">
        <v>0.6006944444444444</v>
      </c>
      <c r="E30">
        <v>5</v>
      </c>
      <c r="F30">
        <v>0.6006944444444444</v>
      </c>
      <c r="G30">
        <v>5</v>
      </c>
      <c r="H30">
        <v>0.6006944444444444</v>
      </c>
      <c r="I30">
        <v>6</v>
      </c>
      <c r="J30">
        <v>0.6354166666666666</v>
      </c>
      <c r="K30">
        <v>6</v>
      </c>
      <c r="L30">
        <v>0.6354166666666666</v>
      </c>
      <c r="M30">
        <v>6</v>
      </c>
      <c r="N30">
        <v>0.6354166666666666</v>
      </c>
      <c r="P30" t="str">
        <v>○</v>
      </c>
      <c r="Q30" t="str">
        <v>教育課程編成全体会5</v>
      </c>
    </row>
    <row r="31">
      <c r="A31">
        <v>28</v>
      </c>
      <c r="B31" t="str">
        <v>水</v>
      </c>
      <c r="C31">
        <v>5</v>
      </c>
      <c r="D31">
        <v>0.6180555555555556</v>
      </c>
      <c r="E31">
        <v>5</v>
      </c>
      <c r="F31">
        <v>0.6180555555555556</v>
      </c>
      <c r="G31">
        <v>5</v>
      </c>
      <c r="H31">
        <v>0.6180555555555556</v>
      </c>
      <c r="I31">
        <v>6</v>
      </c>
      <c r="J31">
        <v>0.6527777777777778</v>
      </c>
      <c r="K31">
        <v>6</v>
      </c>
      <c r="L31">
        <v>0.6527777777777778</v>
      </c>
      <c r="M31">
        <v>6</v>
      </c>
      <c r="N31">
        <v>0.6527777777777778</v>
      </c>
      <c r="P31" t="str">
        <v>○</v>
      </c>
      <c r="Q31" t="str">
        <v>【短】教育計画検討委員会6</v>
      </c>
    </row>
    <row r="32">
      <c r="A32">
        <v>29</v>
      </c>
      <c r="B32" t="str">
        <v>木</v>
      </c>
      <c r="C32">
        <v>4</v>
      </c>
      <c r="D32">
        <v>0.5694444444444444</v>
      </c>
      <c r="E32">
        <v>5</v>
      </c>
      <c r="F32">
        <v>0.6006944444444444</v>
      </c>
      <c r="G32">
        <v>5</v>
      </c>
      <c r="H32">
        <v>0.6006944444444444</v>
      </c>
      <c r="I32">
        <v>6</v>
      </c>
      <c r="J32">
        <v>0.6354166666666666</v>
      </c>
      <c r="K32">
        <v>6</v>
      </c>
      <c r="L32">
        <v>0.6354166666666666</v>
      </c>
      <c r="M32">
        <v>6</v>
      </c>
      <c r="N32">
        <v>0.6354166666666666</v>
      </c>
      <c r="P32" t="str">
        <v>○</v>
      </c>
      <c r="Q32" t="str">
        <v>教育計画検討委員会7</v>
      </c>
    </row>
    <row r="33">
      <c r="A33">
        <v>30</v>
      </c>
      <c r="B33" t="str">
        <v>金</v>
      </c>
      <c r="C33">
        <v>4</v>
      </c>
      <c r="D33">
        <v>0.5868055555555556</v>
      </c>
      <c r="E33">
        <v>4</v>
      </c>
      <c r="F33">
        <v>0.5868055555555556</v>
      </c>
      <c r="G33">
        <v>5</v>
      </c>
      <c r="H33">
        <v>0.6180555555555556</v>
      </c>
      <c r="I33">
        <v>5</v>
      </c>
      <c r="J33">
        <v>0.6180555555555556</v>
      </c>
      <c r="K33">
        <v>5</v>
      </c>
      <c r="L33">
        <v>0.6180555555555556</v>
      </c>
      <c r="M33">
        <v>5</v>
      </c>
      <c r="N33">
        <v>0.6180555555555556</v>
      </c>
      <c r="P33" t="str">
        <v>○</v>
      </c>
      <c r="Q33" t="str">
        <v>教育計画検討委員会8　※月末統計</v>
      </c>
    </row>
    <row r="34">
      <c r="A34">
        <v>31</v>
      </c>
      <c r="B34" t="str">
        <v>土</v>
      </c>
    </row>
    <row r="35" xml:space="preserve">
      <c r="A35" t="str" xml:space="preserve">
        <v xml:space="preserve">1月の留意点_x000d_
</v>
      </c>
      <c r="B35" t="str" xml:space="preserve">
        <v xml:space="preserve">○黄色の部分の下校時刻を修正しました。(12/25版)_x000d_
○1/14(水)、21(水)、28(水)が、通常の月・水・金時程になります。_x000d_
○スキー教室の日程が変更になったため、1/26(月)と1/30(金)が入れ替わります。_x000d_
○3・4・6年生の時数がマイナスになっているため、1月と2月で解消します。_x000d_
　　3・4年生…1/13(火)・14(水)が6校時、6年生…1/23(金)が6校時になります。</v>
      </c>
    </row>
    <row r="36">
      <c r="B36">
        <f>F2</f>
        <v>1</v>
      </c>
      <c r="C36" t="str">
        <v>月</v>
      </c>
      <c r="D36" t="str">
        <v>実施時数予定</v>
      </c>
    </row>
    <row r="37">
      <c r="C37" t="str">
        <v>１年</v>
      </c>
      <c r="E37" t="str">
        <v>２年</v>
      </c>
      <c r="G37" t="str">
        <v>３年</v>
      </c>
      <c r="I37" t="str">
        <v>４年</v>
      </c>
      <c r="K37" t="str">
        <v>５年</v>
      </c>
      <c r="M37" t="str">
        <v>６年</v>
      </c>
      <c r="P37" t="str">
        <v>食数</v>
      </c>
    </row>
    <row r="38">
      <c r="A38" t="str">
        <v>実施できる時数</v>
      </c>
      <c r="C38">
        <f>SUM(C4:C34)+O38</f>
        <v>71</v>
      </c>
      <c r="E38">
        <f>SUM(E4:E34)+O38</f>
        <v>74</v>
      </c>
      <c r="G38">
        <f>SUM(G4:G34)+O38</f>
        <v>83</v>
      </c>
      <c r="I38">
        <f>SUM(I4:I34)+O38</f>
        <v>86</v>
      </c>
      <c r="K38">
        <f>SUM(K4:K34)+O38</f>
        <v>86</v>
      </c>
      <c r="M38">
        <f>SUM(M4:M34)+O38</f>
        <v>87</v>
      </c>
      <c r="P38">
        <f>COUNTIF(P4:P34,"○")</f>
        <v>13</v>
      </c>
    </row>
    <row r="39">
      <c r="A39" t="str">
        <v>計画された時数</v>
      </c>
      <c r="C39">
        <v>70</v>
      </c>
      <c r="E39">
        <v>74</v>
      </c>
      <c r="G39">
        <v>80</v>
      </c>
      <c r="I39">
        <v>84</v>
      </c>
      <c r="K39">
        <v>85</v>
      </c>
      <c r="M39">
        <v>86</v>
      </c>
    </row>
    <row r="40">
      <c r="A40" t="str">
        <v>1月余剰時数</v>
      </c>
      <c r="C40">
        <f>C38-C39</f>
        <v>1</v>
      </c>
      <c r="E40">
        <f>E38-E39</f>
        <v>0</v>
      </c>
      <c r="G40">
        <f>G38-G39</f>
        <v>3</v>
      </c>
      <c r="I40">
        <f>I38-I39</f>
        <v>2</v>
      </c>
      <c r="K40">
        <f>K38-K39</f>
        <v>1</v>
      </c>
      <c r="M40">
        <f>M38-M39</f>
        <v>1</v>
      </c>
    </row>
    <row r="41">
      <c r="Q41">
        <v>3</v>
      </c>
    </row>
  </sheetData>
  <mergeCells count="40">
    <mergeCell ref="M40:N40"/>
    <mergeCell ref="A40:B40"/>
    <mergeCell ref="C40:D40"/>
    <mergeCell ref="E40:F40"/>
    <mergeCell ref="G40:H40"/>
    <mergeCell ref="I40:J40"/>
    <mergeCell ref="K40:L40"/>
    <mergeCell ref="M38:N38"/>
    <mergeCell ref="A39:B39"/>
    <mergeCell ref="C39:D39"/>
    <mergeCell ref="E39:F39"/>
    <mergeCell ref="G39:H39"/>
    <mergeCell ref="I39:J39"/>
    <mergeCell ref="K39:L39"/>
    <mergeCell ref="M39:N39"/>
    <mergeCell ref="A38:B38"/>
    <mergeCell ref="C38:D38"/>
    <mergeCell ref="E38:F38"/>
    <mergeCell ref="G38:H38"/>
    <mergeCell ref="I38:J38"/>
    <mergeCell ref="K38:L38"/>
    <mergeCell ref="B35:Q35"/>
    <mergeCell ref="D36:G36"/>
    <mergeCell ref="A37:B37"/>
    <mergeCell ref="C37:D37"/>
    <mergeCell ref="E37:F37"/>
    <mergeCell ref="G37:H37"/>
    <mergeCell ref="I37:J37"/>
    <mergeCell ref="K37:L37"/>
    <mergeCell ref="M37:N37"/>
    <mergeCell ref="A1:D1"/>
    <mergeCell ref="P1:Q1"/>
    <mergeCell ref="A2:D2"/>
    <mergeCell ref="H2:O2"/>
    <mergeCell ref="C3:D3"/>
    <mergeCell ref="E3:F3"/>
    <mergeCell ref="G3:H3"/>
    <mergeCell ref="I3:J3"/>
    <mergeCell ref="K3:L3"/>
    <mergeCell ref="M3:N3"/>
  </mergeCells>
  <pageMargins left="0.31496062992125984" right="0.31496062992125984" top="0.3937007874015748" bottom="0.3937007874015748" header="0.31496062992125984" footer="0.31496062992125984"/>
  <ignoredErrors>
    <ignoredError numberStoredAsText="1" sqref="A1:Q42"/>
  </ignoredErrors>
</worksheet>
</file>

<file path=xl/worksheets/sheet27.xml><?xml version="1.0" encoding="utf-8"?>
<worksheet xmlns="http://schemas.openxmlformats.org/spreadsheetml/2006/main" xmlns:r="http://schemas.openxmlformats.org/officeDocument/2006/relationships">
  <dimension ref="A1:Q42"/>
  <sheetViews>
    <sheetView workbookViewId="0" rightToLeft="0"/>
  </sheetViews>
  <sheetData>
    <row r="2">
      <c r="A2" t="str">
        <v>令和７年度</v>
      </c>
      <c r="F2">
        <v>1</v>
      </c>
      <c r="G2" t="str">
        <v>月</v>
      </c>
      <c r="H2" t="str">
        <v>授業時数･下校予定時刻一覧表(12/26版)</v>
      </c>
      <c r="Q2" t="str">
        <v>本宮市立本宮まゆみ小学校</v>
      </c>
    </row>
    <row r="3">
      <c r="A3" t="str">
        <v>日</v>
      </c>
      <c r="B3" t="str">
        <v>曜</v>
      </c>
      <c r="C3" t="str">
        <v>１学年</v>
      </c>
      <c r="E3" t="str">
        <v>２学年</v>
      </c>
      <c r="G3" t="str">
        <v>３学年</v>
      </c>
      <c r="I3" t="str">
        <v>４学年</v>
      </c>
      <c r="K3" t="str">
        <v>５学年</v>
      </c>
      <c r="M3" t="str">
        <v>６学年</v>
      </c>
      <c r="O3" t="str">
        <v>特別日程</v>
      </c>
      <c r="P3" t="str">
        <v>給食</v>
      </c>
      <c r="Q3" t="str">
        <v>行　　事　　等</v>
      </c>
    </row>
    <row r="4">
      <c r="A4">
        <v>1</v>
      </c>
      <c r="B4" t="str">
        <v>木</v>
      </c>
      <c r="Q4" t="str">
        <v xml:space="preserve">               元日</v>
      </c>
    </row>
    <row r="5">
      <c r="A5">
        <v>2</v>
      </c>
      <c r="B5" t="str">
        <v>金</v>
      </c>
      <c r="Q5" t="str">
        <v>空直日</v>
      </c>
    </row>
    <row r="6">
      <c r="A6">
        <v>3</v>
      </c>
      <c r="B6" t="str">
        <v>土</v>
      </c>
    </row>
    <row r="7">
      <c r="A7">
        <v>4</v>
      </c>
      <c r="B7" t="str">
        <v>日</v>
      </c>
    </row>
    <row r="8">
      <c r="A8">
        <v>5</v>
      </c>
      <c r="B8" t="str">
        <v>月</v>
      </c>
      <c r="Q8" t="str">
        <v>仕事始め</v>
      </c>
    </row>
    <row r="9">
      <c r="A9">
        <v>6</v>
      </c>
      <c r="B9" t="str">
        <v>火</v>
      </c>
    </row>
    <row r="10">
      <c r="A10">
        <v>7</v>
      </c>
      <c r="B10" t="str">
        <v>水</v>
      </c>
    </row>
    <row r="11">
      <c r="A11">
        <v>8</v>
      </c>
      <c r="B11" t="str">
        <v>木</v>
      </c>
      <c r="C11">
        <v>4</v>
      </c>
      <c r="D11">
        <v>0.5</v>
      </c>
      <c r="E11">
        <v>4</v>
      </c>
      <c r="F11">
        <v>0.5</v>
      </c>
      <c r="G11">
        <v>4</v>
      </c>
      <c r="H11">
        <v>0.5</v>
      </c>
      <c r="I11">
        <v>4</v>
      </c>
      <c r="J11">
        <v>0.5</v>
      </c>
      <c r="K11">
        <v>4</v>
      </c>
      <c r="L11">
        <v>0.5</v>
      </c>
      <c r="M11">
        <v>4</v>
      </c>
      <c r="N11">
        <v>0.5</v>
      </c>
      <c r="O11" t="str">
        <v>特別</v>
      </c>
      <c r="P11" t="str">
        <v>×</v>
      </c>
      <c r="Q11" t="str">
        <v>【特】第3学期始業式、安全点検、職員会議、教育課程編成全体会3、学校行事・日課表・時数検討委員会2、◇PTA本部役員・監査の立候補・推薦受付（～1/13）</v>
      </c>
    </row>
    <row r="12">
      <c r="A12">
        <v>9</v>
      </c>
      <c r="B12" t="str">
        <v>金</v>
      </c>
      <c r="C12">
        <v>4</v>
      </c>
      <c r="D12">
        <v>0.5868055555555556</v>
      </c>
      <c r="E12">
        <v>4</v>
      </c>
      <c r="F12">
        <v>0.5868055555555556</v>
      </c>
      <c r="G12">
        <v>5</v>
      </c>
      <c r="H12">
        <v>0.6180555555555556</v>
      </c>
      <c r="I12">
        <v>5</v>
      </c>
      <c r="J12">
        <v>0.6180555555555556</v>
      </c>
      <c r="K12">
        <v>5</v>
      </c>
      <c r="L12">
        <v>0.6180555555555556</v>
      </c>
      <c r="M12">
        <v>5</v>
      </c>
      <c r="N12">
        <v>0.6180555555555556</v>
      </c>
      <c r="P12" t="str">
        <v>○</v>
      </c>
      <c r="Q12" t="str">
        <v>身体測定（まゆさく・低）、教育目標検討委員会</v>
      </c>
    </row>
    <row r="13">
      <c r="A13">
        <v>10</v>
      </c>
      <c r="B13" t="str">
        <v>土</v>
      </c>
    </row>
    <row r="14">
      <c r="A14">
        <v>11</v>
      </c>
      <c r="B14" t="str">
        <v>日</v>
      </c>
    </row>
    <row r="15">
      <c r="A15">
        <v>12</v>
      </c>
      <c r="B15" t="str">
        <v>月</v>
      </c>
      <c r="Q15" t="str">
        <v xml:space="preserve">               成人の日</v>
      </c>
    </row>
    <row r="16" xml:space="preserve">
      <c r="A16">
        <v>13</v>
      </c>
      <c r="B16" t="str">
        <v>火</v>
      </c>
      <c r="C16">
        <v>5</v>
      </c>
      <c r="D16">
        <v>0.6006944444444444</v>
      </c>
      <c r="E16">
        <v>5</v>
      </c>
      <c r="F16">
        <v>0.6006944444444444</v>
      </c>
      <c r="G16">
        <v>6</v>
      </c>
      <c r="H16">
        <v>0.6354166666666666</v>
      </c>
      <c r="I16">
        <v>6</v>
      </c>
      <c r="J16">
        <v>0.6354166666666666</v>
      </c>
      <c r="K16">
        <v>6</v>
      </c>
      <c r="L16">
        <v>0.6354166666666666</v>
      </c>
      <c r="M16">
        <v>6</v>
      </c>
      <c r="N16">
        <v>0.6354166666666666</v>
      </c>
      <c r="P16" t="str">
        <v>○</v>
      </c>
      <c r="Q16" t="str" xml:space="preserve">
        <v xml:space="preserve">身体測定（3～6年）、※口座振替日1_x000d_
生徒指導・現職教育委員会</v>
      </c>
    </row>
    <row r="17" xml:space="preserve">
      <c r="A17">
        <v>14</v>
      </c>
      <c r="B17" t="str">
        <v>水</v>
      </c>
      <c r="C17">
        <v>4</v>
      </c>
      <c r="D17">
        <v>0.5868055555555556</v>
      </c>
      <c r="E17">
        <v>5</v>
      </c>
      <c r="F17">
        <v>0.6180555555555556</v>
      </c>
      <c r="G17">
        <v>6</v>
      </c>
      <c r="H17">
        <v>0.6527777777777778</v>
      </c>
      <c r="I17">
        <v>6</v>
      </c>
      <c r="J17">
        <v>0.6527777777777778</v>
      </c>
      <c r="K17">
        <v>6</v>
      </c>
      <c r="L17">
        <v>0.6527777777777778</v>
      </c>
      <c r="M17">
        <v>6</v>
      </c>
      <c r="N17">
        <v>0.6527777777777778</v>
      </c>
      <c r="P17" t="str">
        <v>○</v>
      </c>
      <c r="Q17" t="str" xml:space="preserve">
        <v xml:space="preserve">【短】薬物乱用防止教室③６年、教育計画検討委員会1、※資源回収_x000d_
◇PTA役員選考委員会（書面開催、～21日）</v>
      </c>
    </row>
    <row r="18">
      <c r="A18">
        <v>15</v>
      </c>
      <c r="B18" t="str">
        <v>木</v>
      </c>
      <c r="C18">
        <v>4</v>
      </c>
      <c r="D18">
        <v>0.5694444444444444</v>
      </c>
      <c r="E18">
        <v>5</v>
      </c>
      <c r="F18">
        <v>0.6006944444444444</v>
      </c>
      <c r="G18">
        <v>6</v>
      </c>
      <c r="H18">
        <v>0.6354166666666666</v>
      </c>
      <c r="I18">
        <v>6</v>
      </c>
      <c r="J18">
        <v>0.6354166666666666</v>
      </c>
      <c r="K18">
        <v>6</v>
      </c>
      <c r="L18">
        <v>0.6354166666666666</v>
      </c>
      <c r="M18">
        <v>6</v>
      </c>
      <c r="N18">
        <v>0.6354166666666666</v>
      </c>
      <c r="P18" t="str">
        <v>○</v>
      </c>
      <c r="Q18" t="str">
        <v>教育計画検討委員会2、※資源回収</v>
      </c>
    </row>
    <row r="19">
      <c r="A19">
        <v>16</v>
      </c>
      <c r="B19" t="str">
        <v>金</v>
      </c>
      <c r="C19">
        <v>5</v>
      </c>
      <c r="D19">
        <v>0.6180555555555556</v>
      </c>
      <c r="E19">
        <v>5</v>
      </c>
      <c r="F19">
        <v>0.6180555555555556</v>
      </c>
      <c r="G19">
        <v>5</v>
      </c>
      <c r="H19">
        <v>0.6180555555555556</v>
      </c>
      <c r="I19">
        <v>5</v>
      </c>
      <c r="J19">
        <v>0.6180555555555556</v>
      </c>
      <c r="K19">
        <v>5</v>
      </c>
      <c r="L19">
        <v>0.6180555555555556</v>
      </c>
      <c r="M19">
        <v>5</v>
      </c>
      <c r="N19">
        <v>0.6180555555555556</v>
      </c>
      <c r="P19" t="str">
        <v>○</v>
      </c>
      <c r="Q19" t="str">
        <v>教育計画検討委員会3、※資源回収</v>
      </c>
    </row>
    <row r="20">
      <c r="A20">
        <v>17</v>
      </c>
      <c r="B20" t="str">
        <v>金</v>
      </c>
    </row>
    <row r="21">
      <c r="A21">
        <v>18</v>
      </c>
      <c r="B21" t="str">
        <v>土</v>
      </c>
    </row>
    <row r="22">
      <c r="A22">
        <v>19</v>
      </c>
      <c r="B22" t="str">
        <v>月</v>
      </c>
      <c r="C22">
        <v>4</v>
      </c>
      <c r="D22">
        <v>0.5868055555555556</v>
      </c>
      <c r="E22">
        <v>4</v>
      </c>
      <c r="F22">
        <v>0.5868055555555556</v>
      </c>
      <c r="G22">
        <v>5</v>
      </c>
      <c r="H22">
        <v>0.6180555555555556</v>
      </c>
      <c r="I22">
        <v>5</v>
      </c>
      <c r="J22">
        <v>0.6458333333333334</v>
      </c>
      <c r="K22">
        <v>5</v>
      </c>
      <c r="L22">
        <v>0.6458333333333334</v>
      </c>
      <c r="M22">
        <v>5</v>
      </c>
      <c r="N22">
        <v>0.6458333333333334</v>
      </c>
      <c r="P22" t="str">
        <v>○</v>
      </c>
      <c r="Q22" t="str">
        <v>児童会活動日</v>
      </c>
    </row>
    <row r="23">
      <c r="A23">
        <v>20</v>
      </c>
      <c r="B23" t="str">
        <v>火</v>
      </c>
      <c r="C23">
        <v>5</v>
      </c>
      <c r="D23">
        <v>0.5833333333333334</v>
      </c>
      <c r="E23">
        <v>5</v>
      </c>
      <c r="F23">
        <v>0.5833333333333334</v>
      </c>
      <c r="G23">
        <v>5</v>
      </c>
      <c r="H23">
        <v>0.5833333333333334</v>
      </c>
      <c r="I23">
        <v>5</v>
      </c>
      <c r="J23">
        <v>0.5833333333333334</v>
      </c>
      <c r="K23">
        <v>5</v>
      </c>
      <c r="L23">
        <v>0.5833333333333334</v>
      </c>
      <c r="M23">
        <v>5</v>
      </c>
      <c r="N23">
        <v>0.5833333333333334</v>
      </c>
      <c r="O23" t="str">
        <v>短縮</v>
      </c>
      <c r="P23" t="str">
        <v>○</v>
      </c>
      <c r="Q23" t="str">
        <v>【短】職員会議、教育課程編成全体会4</v>
      </c>
    </row>
    <row r="24" xml:space="preserve">
      <c r="A24">
        <v>21</v>
      </c>
      <c r="B24" t="str">
        <v>水</v>
      </c>
      <c r="C24">
        <v>5</v>
      </c>
      <c r="D24">
        <v>0.6180555555555556</v>
      </c>
      <c r="E24">
        <v>5</v>
      </c>
      <c r="F24">
        <v>0.6180555555555556</v>
      </c>
      <c r="G24">
        <v>6</v>
      </c>
      <c r="H24">
        <v>0.6527777777777778</v>
      </c>
      <c r="I24">
        <v>6</v>
      </c>
      <c r="J24">
        <v>0.6527777777777778</v>
      </c>
      <c r="K24">
        <v>6</v>
      </c>
      <c r="L24">
        <v>0.6527777777777778</v>
      </c>
      <c r="M24">
        <v>6</v>
      </c>
      <c r="N24">
        <v>0.6527777777777778</v>
      </c>
      <c r="P24" t="str">
        <v>○</v>
      </c>
      <c r="Q24" t="str" xml:space="preserve">
        <v xml:space="preserve">【短】教育計画検討委員会4_x000d_
◇PTA本部役員会6</v>
      </c>
    </row>
    <row r="25">
      <c r="A25">
        <v>22</v>
      </c>
      <c r="B25" t="str">
        <v>木</v>
      </c>
      <c r="C25">
        <v>4</v>
      </c>
      <c r="D25">
        <v>0.5</v>
      </c>
      <c r="E25">
        <v>4</v>
      </c>
      <c r="F25">
        <v>0.5</v>
      </c>
      <c r="G25">
        <v>4</v>
      </c>
      <c r="H25">
        <v>0.5</v>
      </c>
      <c r="I25">
        <v>4</v>
      </c>
      <c r="J25">
        <v>0.5</v>
      </c>
      <c r="K25">
        <v>4</v>
      </c>
      <c r="L25">
        <v>0.5</v>
      </c>
      <c r="M25">
        <v>4</v>
      </c>
      <c r="N25">
        <v>0.5</v>
      </c>
      <c r="O25" t="str">
        <v>短縮</v>
      </c>
      <c r="P25" t="str">
        <v>×</v>
      </c>
      <c r="Q25" t="str">
        <v>【短】小教研研究物展示発表会（午後、オンライン）</v>
      </c>
    </row>
    <row r="26">
      <c r="A26">
        <v>23</v>
      </c>
      <c r="B26" t="str">
        <v>金</v>
      </c>
      <c r="C26">
        <v>5</v>
      </c>
      <c r="D26">
        <v>0.6180555555555556</v>
      </c>
      <c r="E26">
        <v>5</v>
      </c>
      <c r="F26">
        <v>0.6180555555555556</v>
      </c>
      <c r="G26">
        <v>5</v>
      </c>
      <c r="H26">
        <v>0.6180555555555556</v>
      </c>
      <c r="I26">
        <v>5</v>
      </c>
      <c r="J26">
        <v>0.6180555555555556</v>
      </c>
      <c r="K26">
        <v>5</v>
      </c>
      <c r="L26">
        <v>0.6180555555555556</v>
      </c>
      <c r="M26">
        <v>6</v>
      </c>
      <c r="N26">
        <v>0.6527777777777778</v>
      </c>
      <c r="P26" t="str">
        <v>○</v>
      </c>
      <c r="Q26" t="str">
        <v>教育計画検討委員会5　※2月時間割提出</v>
      </c>
    </row>
    <row r="27">
      <c r="A27">
        <v>24</v>
      </c>
      <c r="B27" t="str">
        <v>土</v>
      </c>
    </row>
    <row r="28">
      <c r="A28">
        <v>25</v>
      </c>
      <c r="B28" t="str">
        <v>日</v>
      </c>
    </row>
    <row r="29">
      <c r="A29">
        <v>26</v>
      </c>
      <c r="B29" t="str">
        <v>月</v>
      </c>
      <c r="C29">
        <v>4</v>
      </c>
      <c r="D29">
        <v>0.5</v>
      </c>
      <c r="E29">
        <v>4</v>
      </c>
      <c r="F29">
        <v>0.5</v>
      </c>
      <c r="G29">
        <v>6</v>
      </c>
      <c r="H29">
        <v>0.6805555555555556</v>
      </c>
      <c r="I29">
        <v>6</v>
      </c>
      <c r="J29">
        <v>0.6805555555555556</v>
      </c>
      <c r="K29">
        <v>6</v>
      </c>
      <c r="L29">
        <v>0.6805555555555556</v>
      </c>
      <c r="M29">
        <v>6</v>
      </c>
      <c r="N29">
        <v>0.6805555555555556</v>
      </c>
      <c r="O29" t="str">
        <v>短縮</v>
      </c>
      <c r="P29" t="str">
        <v>×</v>
      </c>
      <c r="Q29" t="str">
        <v>【短】スキー教室(中・高:行2、体4)　※口座振替日2</v>
      </c>
    </row>
    <row r="30">
      <c r="A30">
        <v>27</v>
      </c>
      <c r="B30" t="str">
        <v>火</v>
      </c>
      <c r="C30">
        <v>5</v>
      </c>
      <c r="D30">
        <v>0.6006944444444444</v>
      </c>
      <c r="E30">
        <v>5</v>
      </c>
      <c r="F30">
        <v>0.6006944444444444</v>
      </c>
      <c r="G30">
        <v>5</v>
      </c>
      <c r="H30">
        <v>0.6006944444444444</v>
      </c>
      <c r="I30">
        <v>6</v>
      </c>
      <c r="J30">
        <v>0.6354166666666666</v>
      </c>
      <c r="K30">
        <v>6</v>
      </c>
      <c r="L30">
        <v>0.6354166666666666</v>
      </c>
      <c r="M30">
        <v>6</v>
      </c>
      <c r="N30">
        <v>0.6354166666666666</v>
      </c>
      <c r="P30" t="str">
        <v>○</v>
      </c>
      <c r="Q30" t="str">
        <v>教育課程編成全体会5</v>
      </c>
    </row>
    <row r="31">
      <c r="A31">
        <v>28</v>
      </c>
      <c r="B31" t="str">
        <v>水</v>
      </c>
      <c r="C31">
        <v>5</v>
      </c>
      <c r="D31">
        <v>0.6180555555555556</v>
      </c>
      <c r="E31">
        <v>5</v>
      </c>
      <c r="F31">
        <v>0.6180555555555556</v>
      </c>
      <c r="G31">
        <v>5</v>
      </c>
      <c r="H31">
        <v>0.6180555555555556</v>
      </c>
      <c r="I31">
        <v>6</v>
      </c>
      <c r="J31">
        <v>0.6527777777777778</v>
      </c>
      <c r="K31">
        <v>6</v>
      </c>
      <c r="L31">
        <v>0.6527777777777778</v>
      </c>
      <c r="M31">
        <v>6</v>
      </c>
      <c r="N31">
        <v>0.6527777777777778</v>
      </c>
      <c r="P31" t="str">
        <v>○</v>
      </c>
      <c r="Q31" t="str">
        <v>【短】教育計画検討委員会6</v>
      </c>
    </row>
    <row r="32">
      <c r="A32">
        <v>29</v>
      </c>
      <c r="B32" t="str">
        <v>木</v>
      </c>
      <c r="C32">
        <v>4</v>
      </c>
      <c r="D32">
        <v>0.5694444444444444</v>
      </c>
      <c r="E32">
        <v>5</v>
      </c>
      <c r="F32">
        <v>0.6006944444444444</v>
      </c>
      <c r="G32">
        <v>5</v>
      </c>
      <c r="H32">
        <v>0.6006944444444444</v>
      </c>
      <c r="I32">
        <v>6</v>
      </c>
      <c r="J32">
        <v>0.6354166666666666</v>
      </c>
      <c r="K32">
        <v>6</v>
      </c>
      <c r="L32">
        <v>0.6354166666666666</v>
      </c>
      <c r="M32">
        <v>6</v>
      </c>
      <c r="N32">
        <v>0.6354166666666666</v>
      </c>
      <c r="P32" t="str">
        <v>○</v>
      </c>
      <c r="Q32" t="str">
        <v>教育計画検討委員会7</v>
      </c>
    </row>
    <row r="33">
      <c r="A33">
        <v>30</v>
      </c>
      <c r="B33" t="str">
        <v>金</v>
      </c>
      <c r="C33">
        <v>4</v>
      </c>
      <c r="D33">
        <v>0.5868055555555556</v>
      </c>
      <c r="E33">
        <v>4</v>
      </c>
      <c r="F33">
        <v>0.5868055555555556</v>
      </c>
      <c r="G33">
        <v>5</v>
      </c>
      <c r="H33">
        <v>0.6180555555555556</v>
      </c>
      <c r="I33">
        <v>5</v>
      </c>
      <c r="J33">
        <v>0.6180555555555556</v>
      </c>
      <c r="K33">
        <v>5</v>
      </c>
      <c r="L33">
        <v>0.6180555555555556</v>
      </c>
      <c r="M33">
        <v>5</v>
      </c>
      <c r="N33">
        <v>0.6180555555555556</v>
      </c>
      <c r="P33" t="str">
        <v>○</v>
      </c>
      <c r="Q33" t="str">
        <v>教育計画検討委員会8　※月末統計</v>
      </c>
    </row>
    <row r="34">
      <c r="A34">
        <v>31</v>
      </c>
      <c r="B34" t="str">
        <v>土</v>
      </c>
    </row>
    <row r="35" xml:space="preserve">
      <c r="A35" t="str" xml:space="preserve">
        <v xml:space="preserve">1月の留意点_x000d_
</v>
      </c>
      <c r="B35" t="str" xml:space="preserve">
        <v xml:space="preserve">○黄色の部分の下校時刻を修正しました。(12/26版)_x000d_
○1/14(水)、21(水)、28(水)が、通常の月・水・金時程になります。_x000d_
○スキー教室の日程が変更になったため、1/26(月)と1/30(金)が入れ替わります。_x000d_
○3・4・6年生の時数がマイナスになっているため、1月と2月で解消します。_x000d_
　　3・4年生…1/13(火)・14(水)が6校時、6年生…1/23(金)が6校時になります。</v>
      </c>
    </row>
    <row r="36">
      <c r="B36">
        <f>F2</f>
        <v>1</v>
      </c>
      <c r="C36" t="str">
        <v>月</v>
      </c>
      <c r="D36" t="str">
        <v>実施時数予定</v>
      </c>
    </row>
    <row r="37">
      <c r="C37" t="str">
        <v>１年</v>
      </c>
      <c r="E37" t="str">
        <v>２年</v>
      </c>
      <c r="G37" t="str">
        <v>３年</v>
      </c>
      <c r="I37" t="str">
        <v>４年</v>
      </c>
      <c r="K37" t="str">
        <v>５年</v>
      </c>
      <c r="M37" t="str">
        <v>６年</v>
      </c>
      <c r="P37" t="str">
        <v>食数</v>
      </c>
    </row>
    <row r="38">
      <c r="A38" t="str">
        <v>実施できる時数</v>
      </c>
      <c r="C38">
        <f>SUM(C4:C34)+O38</f>
        <v>71</v>
      </c>
      <c r="E38">
        <f>SUM(E4:E34)+O38</f>
        <v>74</v>
      </c>
      <c r="G38">
        <f>SUM(G4:G34)+O38</f>
        <v>83</v>
      </c>
      <c r="I38">
        <f>SUM(I4:I34)+O38</f>
        <v>86</v>
      </c>
      <c r="K38">
        <f>SUM(K4:K34)+O38</f>
        <v>86</v>
      </c>
      <c r="M38">
        <f>SUM(M4:M34)+O38</f>
        <v>87</v>
      </c>
      <c r="P38">
        <f>COUNTIF(P4:P34,"○")</f>
        <v>13</v>
      </c>
    </row>
    <row r="39">
      <c r="A39" t="str">
        <v>計画された時数</v>
      </c>
      <c r="C39">
        <v>70</v>
      </c>
      <c r="E39">
        <v>74</v>
      </c>
      <c r="G39">
        <v>80</v>
      </c>
      <c r="I39">
        <v>84</v>
      </c>
      <c r="K39">
        <v>85</v>
      </c>
      <c r="M39">
        <v>86</v>
      </c>
    </row>
    <row r="40">
      <c r="A40" t="str">
        <v>1月余剰時数</v>
      </c>
      <c r="C40">
        <f>C38-C39</f>
        <v>1</v>
      </c>
      <c r="E40">
        <f>E38-E39</f>
        <v>0</v>
      </c>
      <c r="G40">
        <f>G38-G39</f>
        <v>3</v>
      </c>
      <c r="I40">
        <f>I38-I39</f>
        <v>2</v>
      </c>
      <c r="K40">
        <f>K38-K39</f>
        <v>1</v>
      </c>
      <c r="M40">
        <f>M38-M39</f>
        <v>1</v>
      </c>
    </row>
    <row r="41">
      <c r="Q41">
        <v>3</v>
      </c>
    </row>
  </sheetData>
  <mergeCells count="40">
    <mergeCell ref="A1:D1"/>
    <mergeCell ref="P1:Q1"/>
    <mergeCell ref="A2:D2"/>
    <mergeCell ref="H2:O2"/>
    <mergeCell ref="C3:D3"/>
    <mergeCell ref="E3:F3"/>
    <mergeCell ref="G3:H3"/>
    <mergeCell ref="I3:J3"/>
    <mergeCell ref="K3:L3"/>
    <mergeCell ref="M3:N3"/>
    <mergeCell ref="B35:Q35"/>
    <mergeCell ref="D36:G36"/>
    <mergeCell ref="A37:B37"/>
    <mergeCell ref="C37:D37"/>
    <mergeCell ref="E37:F37"/>
    <mergeCell ref="G37:H37"/>
    <mergeCell ref="I37:J37"/>
    <mergeCell ref="K37:L37"/>
    <mergeCell ref="M37:N37"/>
    <mergeCell ref="M38:N38"/>
    <mergeCell ref="A39:B39"/>
    <mergeCell ref="C39:D39"/>
    <mergeCell ref="E39:F39"/>
    <mergeCell ref="G39:H39"/>
    <mergeCell ref="I39:J39"/>
    <mergeCell ref="K39:L39"/>
    <mergeCell ref="M39:N39"/>
    <mergeCell ref="A38:B38"/>
    <mergeCell ref="C38:D38"/>
    <mergeCell ref="E38:F38"/>
    <mergeCell ref="G38:H38"/>
    <mergeCell ref="I38:J38"/>
    <mergeCell ref="K38:L38"/>
    <mergeCell ref="M40:N40"/>
    <mergeCell ref="A40:B40"/>
    <mergeCell ref="C40:D40"/>
    <mergeCell ref="E40:F40"/>
    <mergeCell ref="G40:H40"/>
    <mergeCell ref="I40:J40"/>
    <mergeCell ref="K40:L40"/>
  </mergeCells>
  <pageMargins left="0.31496062992125984" right="0.31496062992125984" top="0.3937007874015748" bottom="0.3937007874015748" header="0.31496062992125984" footer="0.31496062992125984"/>
  <ignoredErrors>
    <ignoredError numberStoredAsText="1" sqref="A1:Q42"/>
  </ignoredErrors>
</worksheet>
</file>

<file path=xl/worksheets/sheet28.xml><?xml version="1.0" encoding="utf-8"?>
<worksheet xmlns="http://schemas.openxmlformats.org/spreadsheetml/2006/main" xmlns:r="http://schemas.openxmlformats.org/officeDocument/2006/relationships">
  <dimension ref="A1:Q42"/>
  <sheetViews>
    <sheetView workbookViewId="0" rightToLeft="0"/>
  </sheetViews>
  <sheetData>
    <row r="2">
      <c r="A2" t="str">
        <v>令和７年度</v>
      </c>
      <c r="F2">
        <v>1</v>
      </c>
      <c r="G2" t="str">
        <v>月</v>
      </c>
      <c r="H2" t="str">
        <v>授業時数･下校予定時刻一覧表(1/7版)</v>
      </c>
      <c r="Q2" t="str">
        <v>本宮市立本宮まゆみ小学校</v>
      </c>
    </row>
    <row r="3">
      <c r="A3" t="str">
        <v>日</v>
      </c>
      <c r="B3" t="str">
        <v>曜</v>
      </c>
      <c r="C3" t="str">
        <v>１学年</v>
      </c>
      <c r="E3" t="str">
        <v>２学年</v>
      </c>
      <c r="G3" t="str">
        <v>３学年</v>
      </c>
      <c r="I3" t="str">
        <v>４学年</v>
      </c>
      <c r="K3" t="str">
        <v>５学年</v>
      </c>
      <c r="M3" t="str">
        <v>６学年</v>
      </c>
      <c r="O3" t="str">
        <v>特別日程</v>
      </c>
      <c r="P3" t="str">
        <v>給食</v>
      </c>
      <c r="Q3" t="str">
        <v>行　　事　　等</v>
      </c>
    </row>
    <row r="4">
      <c r="A4">
        <v>1</v>
      </c>
      <c r="B4" t="str">
        <v>木</v>
      </c>
      <c r="Q4" t="str">
        <v xml:space="preserve">               元日</v>
      </c>
    </row>
    <row r="5">
      <c r="A5">
        <v>2</v>
      </c>
      <c r="B5" t="str">
        <v>金</v>
      </c>
      <c r="Q5" t="str">
        <v>空直日</v>
      </c>
    </row>
    <row r="6">
      <c r="A6">
        <v>3</v>
      </c>
      <c r="B6" t="str">
        <v>土</v>
      </c>
    </row>
    <row r="7">
      <c r="A7">
        <v>4</v>
      </c>
      <c r="B7" t="str">
        <v>日</v>
      </c>
    </row>
    <row r="8">
      <c r="A8">
        <v>5</v>
      </c>
      <c r="B8" t="str">
        <v>月</v>
      </c>
      <c r="Q8" t="str">
        <v>仕事始め</v>
      </c>
    </row>
    <row r="9">
      <c r="A9">
        <v>6</v>
      </c>
      <c r="B9" t="str">
        <v>火</v>
      </c>
    </row>
    <row r="10">
      <c r="A10">
        <v>7</v>
      </c>
      <c r="B10" t="str">
        <v>水</v>
      </c>
    </row>
    <row r="11">
      <c r="A11">
        <v>8</v>
      </c>
      <c r="B11" t="str">
        <v>木</v>
      </c>
      <c r="C11">
        <v>4</v>
      </c>
      <c r="D11">
        <v>0.5</v>
      </c>
      <c r="E11">
        <v>4</v>
      </c>
      <c r="F11">
        <v>0.5</v>
      </c>
      <c r="G11">
        <v>4</v>
      </c>
      <c r="H11">
        <v>0.5</v>
      </c>
      <c r="I11">
        <v>4</v>
      </c>
      <c r="J11">
        <v>0.5</v>
      </c>
      <c r="K11">
        <v>4</v>
      </c>
      <c r="L11">
        <v>0.5</v>
      </c>
      <c r="M11">
        <v>4</v>
      </c>
      <c r="N11">
        <v>0.5</v>
      </c>
      <c r="O11" t="str">
        <v>特別</v>
      </c>
      <c r="P11" t="str">
        <v>×</v>
      </c>
      <c r="Q11" t="str">
        <v>【特】第3学期始業式、安全点検、職員会議、教育課程編成全体会3、学校行事・日課表・時数検討委員会2、◇PTA本部役員・監査の立候補・推薦受付（～1/13）</v>
      </c>
    </row>
    <row r="12">
      <c r="A12">
        <v>9</v>
      </c>
      <c r="B12" t="str">
        <v>金</v>
      </c>
      <c r="C12">
        <v>4</v>
      </c>
      <c r="D12">
        <v>0.5868055555555556</v>
      </c>
      <c r="E12">
        <v>4</v>
      </c>
      <c r="F12">
        <v>0.5868055555555556</v>
      </c>
      <c r="G12">
        <v>5</v>
      </c>
      <c r="H12">
        <v>0.6180555555555556</v>
      </c>
      <c r="I12">
        <v>5</v>
      </c>
      <c r="J12">
        <v>0.6180555555555556</v>
      </c>
      <c r="K12">
        <v>5</v>
      </c>
      <c r="L12">
        <v>0.6180555555555556</v>
      </c>
      <c r="M12">
        <v>5</v>
      </c>
      <c r="N12">
        <v>0.6180555555555556</v>
      </c>
      <c r="P12" t="str">
        <v>○</v>
      </c>
      <c r="Q12" t="str">
        <v>身体測定（まゆさく・低）、教育目標検討委員会</v>
      </c>
    </row>
    <row r="13">
      <c r="A13">
        <v>10</v>
      </c>
      <c r="B13" t="str">
        <v>土</v>
      </c>
    </row>
    <row r="14">
      <c r="A14">
        <v>11</v>
      </c>
      <c r="B14" t="str">
        <v>日</v>
      </c>
    </row>
    <row r="15">
      <c r="A15">
        <v>12</v>
      </c>
      <c r="B15" t="str">
        <v>月</v>
      </c>
      <c r="Q15" t="str">
        <v xml:space="preserve">               成人の日</v>
      </c>
    </row>
    <row r="16" xml:space="preserve">
      <c r="A16">
        <v>13</v>
      </c>
      <c r="B16" t="str">
        <v>火</v>
      </c>
      <c r="C16">
        <v>5</v>
      </c>
      <c r="D16">
        <v>0.6006944444444444</v>
      </c>
      <c r="E16">
        <v>5</v>
      </c>
      <c r="F16">
        <v>0.6006944444444444</v>
      </c>
      <c r="G16">
        <v>6</v>
      </c>
      <c r="H16">
        <v>0.6354166666666666</v>
      </c>
      <c r="I16">
        <v>6</v>
      </c>
      <c r="J16">
        <v>0.6354166666666666</v>
      </c>
      <c r="K16">
        <v>6</v>
      </c>
      <c r="L16">
        <v>0.6354166666666666</v>
      </c>
      <c r="M16">
        <v>6</v>
      </c>
      <c r="N16">
        <v>0.6354166666666666</v>
      </c>
      <c r="P16" t="str">
        <v>○</v>
      </c>
      <c r="Q16" t="str" xml:space="preserve">
        <v xml:space="preserve">身体測定（3～6年）、※口座振替日1_x000d_
生徒指導・現職教育委員会</v>
      </c>
    </row>
    <row r="17" xml:space="preserve">
      <c r="A17">
        <v>14</v>
      </c>
      <c r="B17" t="str">
        <v>水</v>
      </c>
      <c r="C17">
        <v>4</v>
      </c>
      <c r="D17">
        <v>0.5868055555555556</v>
      </c>
      <c r="E17">
        <v>5</v>
      </c>
      <c r="F17">
        <v>0.6180555555555556</v>
      </c>
      <c r="G17">
        <v>6</v>
      </c>
      <c r="H17">
        <v>0.6527777777777778</v>
      </c>
      <c r="I17">
        <v>6</v>
      </c>
      <c r="J17">
        <v>0.6527777777777778</v>
      </c>
      <c r="K17">
        <v>6</v>
      </c>
      <c r="L17">
        <v>0.6527777777777778</v>
      </c>
      <c r="M17">
        <v>6</v>
      </c>
      <c r="N17">
        <v>0.6527777777777778</v>
      </c>
      <c r="P17" t="str">
        <v>○</v>
      </c>
      <c r="Q17" t="str" xml:space="preserve">
        <v xml:space="preserve">【短】薬物乱用防止教室③６年、教育計画検討委員会1、※資源回収_x000d_
◇PTA役員選考委員会（書面開催、～21日）</v>
      </c>
    </row>
    <row r="18">
      <c r="A18">
        <v>15</v>
      </c>
      <c r="B18" t="str">
        <v>木</v>
      </c>
      <c r="C18">
        <v>4</v>
      </c>
      <c r="D18">
        <v>0.5694444444444444</v>
      </c>
      <c r="E18">
        <v>5</v>
      </c>
      <c r="F18">
        <v>0.6006944444444444</v>
      </c>
      <c r="G18">
        <v>6</v>
      </c>
      <c r="H18">
        <v>0.6354166666666666</v>
      </c>
      <c r="I18">
        <v>6</v>
      </c>
      <c r="J18">
        <v>0.6354166666666666</v>
      </c>
      <c r="K18">
        <v>6</v>
      </c>
      <c r="L18">
        <v>0.6354166666666666</v>
      </c>
      <c r="M18">
        <v>6</v>
      </c>
      <c r="N18">
        <v>0.6354166666666666</v>
      </c>
      <c r="P18" t="str">
        <v>○</v>
      </c>
      <c r="Q18" t="str">
        <v>教育計画検討委員会2、※資源回収</v>
      </c>
    </row>
    <row r="19">
      <c r="A19">
        <v>16</v>
      </c>
      <c r="B19" t="str">
        <v>金</v>
      </c>
      <c r="C19">
        <v>5</v>
      </c>
      <c r="D19">
        <v>0.6180555555555556</v>
      </c>
      <c r="E19">
        <v>5</v>
      </c>
      <c r="F19">
        <v>0.6180555555555556</v>
      </c>
      <c r="G19">
        <v>5</v>
      </c>
      <c r="H19">
        <v>0.6180555555555556</v>
      </c>
      <c r="I19">
        <v>5</v>
      </c>
      <c r="J19">
        <v>0.6180555555555556</v>
      </c>
      <c r="K19">
        <v>5</v>
      </c>
      <c r="L19">
        <v>0.6180555555555556</v>
      </c>
      <c r="M19">
        <v>5</v>
      </c>
      <c r="N19">
        <v>0.6180555555555556</v>
      </c>
      <c r="P19" t="str">
        <v>○</v>
      </c>
      <c r="Q19" t="str">
        <v>教育計画検討委員会3、※資源回収</v>
      </c>
    </row>
    <row r="20">
      <c r="A20">
        <v>17</v>
      </c>
      <c r="B20" t="str">
        <v>金</v>
      </c>
    </row>
    <row r="21">
      <c r="A21">
        <v>18</v>
      </c>
      <c r="B21" t="str">
        <v>土</v>
      </c>
    </row>
    <row r="22">
      <c r="A22">
        <v>19</v>
      </c>
      <c r="B22" t="str">
        <v>月</v>
      </c>
      <c r="C22">
        <v>4</v>
      </c>
      <c r="D22">
        <v>0.5868055555555556</v>
      </c>
      <c r="E22">
        <v>4</v>
      </c>
      <c r="F22">
        <v>0.5868055555555556</v>
      </c>
      <c r="G22">
        <v>5</v>
      </c>
      <c r="H22">
        <v>0.6180555555555556</v>
      </c>
      <c r="I22">
        <v>5</v>
      </c>
      <c r="J22">
        <v>0.6458333333333334</v>
      </c>
      <c r="K22">
        <v>5</v>
      </c>
      <c r="L22">
        <v>0.6458333333333334</v>
      </c>
      <c r="M22">
        <v>5</v>
      </c>
      <c r="N22">
        <v>0.6458333333333334</v>
      </c>
      <c r="P22" t="str">
        <v>○</v>
      </c>
      <c r="Q22" t="str">
        <v>児童会活動日</v>
      </c>
    </row>
    <row r="23">
      <c r="A23">
        <v>20</v>
      </c>
      <c r="B23" t="str">
        <v>火</v>
      </c>
      <c r="C23">
        <v>5</v>
      </c>
      <c r="D23">
        <v>0.5833333333333334</v>
      </c>
      <c r="E23">
        <v>5</v>
      </c>
      <c r="F23">
        <v>0.5833333333333334</v>
      </c>
      <c r="G23">
        <v>5</v>
      </c>
      <c r="H23">
        <v>0.5833333333333334</v>
      </c>
      <c r="I23">
        <v>5</v>
      </c>
      <c r="J23">
        <v>0.5833333333333334</v>
      </c>
      <c r="K23">
        <v>5</v>
      </c>
      <c r="L23">
        <v>0.5833333333333334</v>
      </c>
      <c r="M23">
        <v>5</v>
      </c>
      <c r="N23">
        <v>0.5833333333333334</v>
      </c>
      <c r="O23" t="str">
        <v>短縮</v>
      </c>
      <c r="P23" t="str">
        <v>○</v>
      </c>
      <c r="Q23" t="str">
        <v>【短】職員会議、教育課程編成全体会4</v>
      </c>
    </row>
    <row r="24" xml:space="preserve">
      <c r="A24">
        <v>21</v>
      </c>
      <c r="B24" t="str">
        <v>水</v>
      </c>
      <c r="C24">
        <v>5</v>
      </c>
      <c r="D24">
        <v>0.6180555555555556</v>
      </c>
      <c r="E24">
        <v>5</v>
      </c>
      <c r="F24">
        <v>0.6180555555555556</v>
      </c>
      <c r="G24">
        <v>6</v>
      </c>
      <c r="H24">
        <v>0.6527777777777778</v>
      </c>
      <c r="I24">
        <v>6</v>
      </c>
      <c r="J24">
        <v>0.6527777777777778</v>
      </c>
      <c r="K24">
        <v>6</v>
      </c>
      <c r="L24">
        <v>0.6527777777777778</v>
      </c>
      <c r="M24">
        <v>6</v>
      </c>
      <c r="N24">
        <v>0.6527777777777778</v>
      </c>
      <c r="P24" t="str">
        <v>○</v>
      </c>
      <c r="Q24" t="str" xml:space="preserve">
        <v xml:space="preserve">【短】教育計画検討委員会4_x000d_
◇PTA本部役員会6</v>
      </c>
    </row>
    <row r="25">
      <c r="A25">
        <v>22</v>
      </c>
      <c r="B25" t="str">
        <v>木</v>
      </c>
      <c r="C25">
        <v>4</v>
      </c>
      <c r="D25">
        <v>0.5416666666666666</v>
      </c>
      <c r="E25">
        <v>4</v>
      </c>
      <c r="F25">
        <v>0.5416666666666666</v>
      </c>
      <c r="G25">
        <v>4</v>
      </c>
      <c r="H25">
        <v>0.5416666666666666</v>
      </c>
      <c r="I25">
        <v>4</v>
      </c>
      <c r="J25">
        <v>0.5416666666666666</v>
      </c>
      <c r="K25">
        <v>4</v>
      </c>
      <c r="L25">
        <v>0.5416666666666666</v>
      </c>
      <c r="M25">
        <v>4</v>
      </c>
      <c r="N25">
        <v>0.5416666666666666</v>
      </c>
      <c r="O25" t="str">
        <v>短縮</v>
      </c>
      <c r="P25" t="str">
        <v>○</v>
      </c>
      <c r="Q25" t="str">
        <v>【短】小教研研究物展示発表会（午後、オンライン）</v>
      </c>
    </row>
    <row r="26">
      <c r="A26">
        <v>23</v>
      </c>
      <c r="B26" t="str">
        <v>金</v>
      </c>
      <c r="C26">
        <v>5</v>
      </c>
      <c r="D26">
        <v>0.6180555555555556</v>
      </c>
      <c r="E26">
        <v>5</v>
      </c>
      <c r="F26">
        <v>0.6180555555555556</v>
      </c>
      <c r="G26">
        <v>5</v>
      </c>
      <c r="H26">
        <v>0.6180555555555556</v>
      </c>
      <c r="I26">
        <v>5</v>
      </c>
      <c r="J26">
        <v>0.6180555555555556</v>
      </c>
      <c r="K26">
        <v>5</v>
      </c>
      <c r="L26">
        <v>0.6180555555555556</v>
      </c>
      <c r="M26">
        <v>6</v>
      </c>
      <c r="N26">
        <v>0.6527777777777778</v>
      </c>
      <c r="P26" t="str">
        <v>○</v>
      </c>
      <c r="Q26" t="str">
        <v>教育計画検討委員会5　※2月時間割提出</v>
      </c>
    </row>
    <row r="27">
      <c r="A27">
        <v>24</v>
      </c>
      <c r="B27" t="str">
        <v>土</v>
      </c>
    </row>
    <row r="28">
      <c r="A28">
        <v>25</v>
      </c>
      <c r="B28" t="str">
        <v>日</v>
      </c>
    </row>
    <row r="29">
      <c r="A29">
        <v>26</v>
      </c>
      <c r="B29" t="str">
        <v>月</v>
      </c>
      <c r="C29">
        <v>4</v>
      </c>
      <c r="D29">
        <v>0.5</v>
      </c>
      <c r="E29">
        <v>4</v>
      </c>
      <c r="F29">
        <v>0.5</v>
      </c>
      <c r="G29">
        <v>6</v>
      </c>
      <c r="H29">
        <v>0.6527777777777778</v>
      </c>
      <c r="I29">
        <v>6</v>
      </c>
      <c r="J29">
        <v>0.6527777777777778</v>
      </c>
      <c r="K29">
        <v>6</v>
      </c>
      <c r="L29">
        <v>0.6527777777777778</v>
      </c>
      <c r="M29">
        <v>6</v>
      </c>
      <c r="N29">
        <v>0.6527777777777778</v>
      </c>
      <c r="O29" t="str">
        <v>短縮</v>
      </c>
      <c r="P29" t="str">
        <v>×</v>
      </c>
      <c r="Q29" t="str">
        <v>【短】スキー教室(中・高:行2、体4)　※口座振替日2</v>
      </c>
    </row>
    <row r="30">
      <c r="A30">
        <v>27</v>
      </c>
      <c r="B30" t="str">
        <v>火</v>
      </c>
      <c r="C30">
        <v>5</v>
      </c>
      <c r="D30">
        <v>0.6006944444444444</v>
      </c>
      <c r="E30">
        <v>5</v>
      </c>
      <c r="F30">
        <v>0.6006944444444444</v>
      </c>
      <c r="G30">
        <v>5</v>
      </c>
      <c r="H30">
        <v>0.6006944444444444</v>
      </c>
      <c r="I30">
        <v>6</v>
      </c>
      <c r="J30">
        <v>0.6354166666666666</v>
      </c>
      <c r="K30">
        <v>6</v>
      </c>
      <c r="L30">
        <v>0.6354166666666666</v>
      </c>
      <c r="M30">
        <v>6</v>
      </c>
      <c r="N30">
        <v>0.6354166666666666</v>
      </c>
      <c r="P30" t="str">
        <v>○</v>
      </c>
      <c r="Q30" t="str">
        <v>教育課程編成全体会5</v>
      </c>
    </row>
    <row r="31">
      <c r="A31">
        <v>28</v>
      </c>
      <c r="B31" t="str">
        <v>水</v>
      </c>
      <c r="C31">
        <v>5</v>
      </c>
      <c r="D31">
        <v>0.6180555555555556</v>
      </c>
      <c r="E31">
        <v>5</v>
      </c>
      <c r="F31">
        <v>0.6180555555555556</v>
      </c>
      <c r="G31">
        <v>5</v>
      </c>
      <c r="H31">
        <v>0.6180555555555556</v>
      </c>
      <c r="I31">
        <v>6</v>
      </c>
      <c r="J31">
        <v>0.6527777777777778</v>
      </c>
      <c r="K31">
        <v>6</v>
      </c>
      <c r="L31">
        <v>0.6527777777777778</v>
      </c>
      <c r="M31">
        <v>6</v>
      </c>
      <c r="N31">
        <v>0.6527777777777778</v>
      </c>
      <c r="P31" t="str">
        <v>○</v>
      </c>
      <c r="Q31" t="str">
        <v>【短】教育計画検討委員会6</v>
      </c>
    </row>
    <row r="32">
      <c r="A32">
        <v>29</v>
      </c>
      <c r="B32" t="str">
        <v>木</v>
      </c>
      <c r="C32">
        <v>4</v>
      </c>
      <c r="D32">
        <v>0.5694444444444444</v>
      </c>
      <c r="E32">
        <v>5</v>
      </c>
      <c r="F32">
        <v>0.6006944444444444</v>
      </c>
      <c r="G32">
        <v>5</v>
      </c>
      <c r="H32">
        <v>0.6006944444444444</v>
      </c>
      <c r="I32">
        <v>6</v>
      </c>
      <c r="J32">
        <v>0.6354166666666666</v>
      </c>
      <c r="K32">
        <v>6</v>
      </c>
      <c r="L32">
        <v>0.6354166666666666</v>
      </c>
      <c r="M32">
        <v>6</v>
      </c>
      <c r="N32">
        <v>0.6354166666666666</v>
      </c>
      <c r="P32" t="str">
        <v>○</v>
      </c>
      <c r="Q32" t="str">
        <v>教育計画検討委員会7</v>
      </c>
    </row>
    <row r="33">
      <c r="A33">
        <v>30</v>
      </c>
      <c r="B33" t="str">
        <v>金</v>
      </c>
      <c r="C33">
        <v>4</v>
      </c>
      <c r="D33">
        <v>0.5868055555555556</v>
      </c>
      <c r="E33">
        <v>4</v>
      </c>
      <c r="F33">
        <v>0.5868055555555556</v>
      </c>
      <c r="G33">
        <v>5</v>
      </c>
      <c r="H33">
        <v>0.6180555555555556</v>
      </c>
      <c r="I33">
        <v>5</v>
      </c>
      <c r="J33">
        <v>0.6180555555555556</v>
      </c>
      <c r="K33">
        <v>5</v>
      </c>
      <c r="L33">
        <v>0.6180555555555556</v>
      </c>
      <c r="M33">
        <v>5</v>
      </c>
      <c r="N33">
        <v>0.6180555555555556</v>
      </c>
      <c r="P33" t="str">
        <v>○</v>
      </c>
      <c r="Q33" t="str">
        <v>教育計画検討委員会8　※月末統計</v>
      </c>
    </row>
    <row r="34">
      <c r="A34">
        <v>31</v>
      </c>
      <c r="B34" t="str">
        <v>土</v>
      </c>
    </row>
    <row r="35" xml:space="preserve">
      <c r="A35" t="str" xml:space="preserve">
        <v xml:space="preserve">1月の留意点_x000d_
</v>
      </c>
      <c r="B35" t="str" xml:space="preserve">
        <v xml:space="preserve">○黄色の部分の下校時刻を修正しました。1/22(木)給食ありです。大変失礼しました。(1/7版)_x000d_
○1/14(水)、21(水)、28(水)が、通常の月・水・金時程になります。_x000d_
○スキー教室の日程が変更になったため、1/26(月)と1/30(金)が入れ替わります。_x000d_
○3・4・6年生の時数がマイナスになっているため、1月と2月で解消します。_x000d_
　　3・4年生…1/13(火)・14(水)が6校時、6年生…1/23(金)が6校時になります。</v>
      </c>
    </row>
    <row r="36">
      <c r="B36">
        <f>F2</f>
        <v>1</v>
      </c>
      <c r="C36" t="str">
        <v>月</v>
      </c>
      <c r="D36" t="str">
        <v>実施時数予定</v>
      </c>
    </row>
    <row r="37">
      <c r="C37" t="str">
        <v>１年</v>
      </c>
      <c r="E37" t="str">
        <v>２年</v>
      </c>
      <c r="G37" t="str">
        <v>３年</v>
      </c>
      <c r="I37" t="str">
        <v>４年</v>
      </c>
      <c r="K37" t="str">
        <v>５年</v>
      </c>
      <c r="M37" t="str">
        <v>６年</v>
      </c>
      <c r="P37" t="str">
        <v>食数</v>
      </c>
    </row>
    <row r="38">
      <c r="A38" t="str">
        <v>実施できる時数</v>
      </c>
      <c r="C38">
        <f>SUM(C4:C34)+O38</f>
        <v>71</v>
      </c>
      <c r="E38">
        <f>SUM(E4:E34)+O38</f>
        <v>74</v>
      </c>
      <c r="G38">
        <f>SUM(G4:G34)+O38</f>
        <v>83</v>
      </c>
      <c r="I38">
        <f>SUM(I4:I34)+O38</f>
        <v>86</v>
      </c>
      <c r="K38">
        <f>SUM(K4:K34)+O38</f>
        <v>86</v>
      </c>
      <c r="M38">
        <f>SUM(M4:M34)+O38</f>
        <v>87</v>
      </c>
      <c r="P38">
        <f>COUNTIF(P4:P34,"○")</f>
        <v>14</v>
      </c>
    </row>
    <row r="39">
      <c r="A39" t="str">
        <v>計画された時数</v>
      </c>
      <c r="C39">
        <v>70</v>
      </c>
      <c r="E39">
        <v>74</v>
      </c>
      <c r="G39">
        <v>80</v>
      </c>
      <c r="I39">
        <v>84</v>
      </c>
      <c r="K39">
        <v>85</v>
      </c>
      <c r="M39">
        <v>86</v>
      </c>
    </row>
    <row r="40">
      <c r="A40" t="str">
        <v>1月余剰時数</v>
      </c>
      <c r="C40">
        <f>C38-C39</f>
        <v>1</v>
      </c>
      <c r="E40">
        <f>E38-E39</f>
        <v>0</v>
      </c>
      <c r="G40">
        <f>G38-G39</f>
        <v>3</v>
      </c>
      <c r="I40">
        <f>I38-I39</f>
        <v>2</v>
      </c>
      <c r="K40">
        <f>K38-K39</f>
        <v>1</v>
      </c>
      <c r="M40">
        <f>M38-M39</f>
        <v>1</v>
      </c>
    </row>
    <row r="41">
      <c r="Q41">
        <v>3</v>
      </c>
    </row>
  </sheetData>
  <mergeCells count="40">
    <mergeCell ref="M40:N40"/>
    <mergeCell ref="A40:B40"/>
    <mergeCell ref="C40:D40"/>
    <mergeCell ref="E40:F40"/>
    <mergeCell ref="G40:H40"/>
    <mergeCell ref="I40:J40"/>
    <mergeCell ref="K40:L40"/>
    <mergeCell ref="M38:N38"/>
    <mergeCell ref="A39:B39"/>
    <mergeCell ref="C39:D39"/>
    <mergeCell ref="E39:F39"/>
    <mergeCell ref="G39:H39"/>
    <mergeCell ref="I39:J39"/>
    <mergeCell ref="K39:L39"/>
    <mergeCell ref="M39:N39"/>
    <mergeCell ref="A38:B38"/>
    <mergeCell ref="C38:D38"/>
    <mergeCell ref="E38:F38"/>
    <mergeCell ref="G38:H38"/>
    <mergeCell ref="I38:J38"/>
    <mergeCell ref="K38:L38"/>
    <mergeCell ref="B35:Q35"/>
    <mergeCell ref="D36:G36"/>
    <mergeCell ref="A37:B37"/>
    <mergeCell ref="C37:D37"/>
    <mergeCell ref="E37:F37"/>
    <mergeCell ref="G37:H37"/>
    <mergeCell ref="I37:J37"/>
    <mergeCell ref="K37:L37"/>
    <mergeCell ref="M37:N37"/>
    <mergeCell ref="A1:D1"/>
    <mergeCell ref="P1:Q1"/>
    <mergeCell ref="A2:D2"/>
    <mergeCell ref="H2:O2"/>
    <mergeCell ref="C3:D3"/>
    <mergeCell ref="E3:F3"/>
    <mergeCell ref="G3:H3"/>
    <mergeCell ref="I3:J3"/>
    <mergeCell ref="K3:L3"/>
    <mergeCell ref="M3:N3"/>
  </mergeCells>
  <pageMargins left="0.31496062992125984" right="0.31496062992125984" top="0.3937007874015748" bottom="0.3937007874015748" header="0.31496062992125984" footer="0.31496062992125984"/>
  <ignoredErrors>
    <ignoredError numberStoredAsText="1" sqref="A1:Q42"/>
  </ignoredErrors>
</worksheet>
</file>

<file path=xl/worksheets/sheet29.xml><?xml version="1.0" encoding="utf-8"?>
<worksheet xmlns="http://schemas.openxmlformats.org/spreadsheetml/2006/main" xmlns:r="http://schemas.openxmlformats.org/officeDocument/2006/relationships">
  <dimension ref="A1:Q40"/>
  <sheetViews>
    <sheetView workbookViewId="0" rightToLeft="0"/>
  </sheetViews>
  <sheetData>
    <row r="2">
      <c r="A2" t="str">
        <v>令和８年度</v>
      </c>
      <c r="F2">
        <v>2</v>
      </c>
      <c r="G2" t="str">
        <v>月</v>
      </c>
      <c r="H2" t="str">
        <v>授業時数･下校予定時刻一覧表</v>
      </c>
      <c r="Q2" t="str">
        <v>本宮市立本宮まゆみ小学校</v>
      </c>
    </row>
    <row r="3">
      <c r="A3" t="str">
        <v>日</v>
      </c>
      <c r="B3" t="str">
        <v>曜</v>
      </c>
      <c r="C3" t="str">
        <v>１学年</v>
      </c>
      <c r="E3" t="str">
        <v>２学年</v>
      </c>
      <c r="G3" t="str">
        <v>３学年</v>
      </c>
      <c r="I3" t="str">
        <v>４学年</v>
      </c>
      <c r="K3" t="str">
        <v>５学年</v>
      </c>
      <c r="M3" t="str">
        <v>６学年</v>
      </c>
      <c r="O3" t="str">
        <v>特別日程</v>
      </c>
      <c r="P3" t="str">
        <v>給食</v>
      </c>
      <c r="Q3" t="str">
        <v>行　　事　　等</v>
      </c>
    </row>
    <row r="4">
      <c r="A4">
        <v>1</v>
      </c>
      <c r="B4" t="str">
        <v>月</v>
      </c>
      <c r="C4">
        <v>4</v>
      </c>
      <c r="D4">
        <v>0.5868055555555556</v>
      </c>
      <c r="E4">
        <v>4</v>
      </c>
      <c r="F4">
        <v>0.5868055555555556</v>
      </c>
      <c r="G4">
        <v>5</v>
      </c>
      <c r="H4">
        <v>0.6180555555555556</v>
      </c>
      <c r="I4">
        <v>5</v>
      </c>
      <c r="J4">
        <v>0.6180555555555556</v>
      </c>
      <c r="K4">
        <v>5</v>
      </c>
      <c r="L4">
        <v>0.6180555555555556</v>
      </c>
      <c r="M4">
        <v>5</v>
      </c>
      <c r="N4">
        <v>0.6180555555555556</v>
      </c>
      <c r="P4" t="str">
        <v>○</v>
      </c>
      <c r="Q4" t="str">
        <v>登校班班長会、教育課程編成全体会6、安全点検</v>
      </c>
    </row>
    <row r="5">
      <c r="A5">
        <v>2</v>
      </c>
      <c r="B5" t="str">
        <v>火</v>
      </c>
      <c r="C5">
        <v>5</v>
      </c>
      <c r="D5">
        <v>0.6006944444444444</v>
      </c>
      <c r="E5">
        <v>5</v>
      </c>
      <c r="F5">
        <v>0.6006944444444444</v>
      </c>
      <c r="G5">
        <v>5</v>
      </c>
      <c r="H5">
        <v>0.6006944444444444</v>
      </c>
      <c r="I5">
        <v>6</v>
      </c>
      <c r="J5">
        <v>0.6354166666666666</v>
      </c>
      <c r="K5">
        <v>6</v>
      </c>
      <c r="L5">
        <v>0.6354166666666666</v>
      </c>
      <c r="M5">
        <v>6</v>
      </c>
      <c r="N5">
        <v>0.6354166666666666</v>
      </c>
      <c r="P5" t="str">
        <v>○</v>
      </c>
      <c r="Q5" t="str">
        <v>性教育②～④（4・6・まゆさく）、一中体験入学及び保護者説明会⑤⑥(6年)</v>
      </c>
    </row>
    <row r="6">
      <c r="A6">
        <v>3</v>
      </c>
      <c r="B6" t="str">
        <v>水</v>
      </c>
      <c r="C6">
        <v>4</v>
      </c>
      <c r="D6">
        <v>0.5868055555555556</v>
      </c>
      <c r="E6">
        <v>5</v>
      </c>
      <c r="F6">
        <v>0.6180555555555556</v>
      </c>
      <c r="G6">
        <v>5</v>
      </c>
      <c r="H6">
        <v>0.6180555555555556</v>
      </c>
      <c r="I6">
        <v>6</v>
      </c>
      <c r="J6">
        <v>0.6527777777777778</v>
      </c>
      <c r="K6">
        <v>6</v>
      </c>
      <c r="L6">
        <v>0.6527777777777778</v>
      </c>
      <c r="M6">
        <v>6</v>
      </c>
      <c r="N6">
        <v>0.6527777777777778</v>
      </c>
      <c r="P6" t="str">
        <v>○</v>
      </c>
      <c r="Q6" t="str">
        <v>標準学力検査(国)、校内就学指導委員会4</v>
      </c>
    </row>
    <row r="7" xml:space="preserve">
      <c r="A7">
        <v>4</v>
      </c>
      <c r="B7" t="str">
        <v>木</v>
      </c>
      <c r="C7">
        <v>4</v>
      </c>
      <c r="D7">
        <v>0.5694444444444444</v>
      </c>
      <c r="E7">
        <v>5</v>
      </c>
      <c r="F7">
        <v>0.6006944444444444</v>
      </c>
      <c r="G7">
        <v>6</v>
      </c>
      <c r="H7">
        <v>0.6354166666666666</v>
      </c>
      <c r="I7">
        <v>6</v>
      </c>
      <c r="J7">
        <v>0.6354166666666666</v>
      </c>
      <c r="K7">
        <v>6</v>
      </c>
      <c r="L7">
        <v>0.6354166666666666</v>
      </c>
      <c r="M7">
        <v>6</v>
      </c>
      <c r="N7">
        <v>0.6354166666666666</v>
      </c>
      <c r="P7" t="str">
        <v>○</v>
      </c>
      <c r="Q7" t="str" xml:space="preserve">
        <v xml:space="preserve">標準学力検査(算)_x000d_
◇学校運営協議会5</v>
      </c>
    </row>
    <row r="8" xml:space="preserve">
      <c r="A8">
        <v>5</v>
      </c>
      <c r="B8" t="str">
        <v>金</v>
      </c>
      <c r="C8">
        <v>5</v>
      </c>
      <c r="D8">
        <v>0.6180555555555556</v>
      </c>
      <c r="E8">
        <v>5</v>
      </c>
      <c r="F8">
        <v>0.6180555555555556</v>
      </c>
      <c r="G8">
        <v>5</v>
      </c>
      <c r="H8">
        <v>0.6180555555555556</v>
      </c>
      <c r="I8">
        <v>5</v>
      </c>
      <c r="J8">
        <v>0.6180555555555556</v>
      </c>
      <c r="K8">
        <v>5</v>
      </c>
      <c r="L8">
        <v>0.6180555555555556</v>
      </c>
      <c r="M8">
        <v>5</v>
      </c>
      <c r="N8">
        <v>0.6180555555555556</v>
      </c>
      <c r="P8" t="str">
        <v>○</v>
      </c>
      <c r="Q8" t="str" xml:space="preserve">
        <v xml:space="preserve">◇学年役員投票用紙配付(～12日)_x000d_
※1月月案反省提出</v>
      </c>
    </row>
    <row r="9">
      <c r="A9">
        <v>6</v>
      </c>
      <c r="B9" t="str">
        <v>土</v>
      </c>
    </row>
    <row r="10">
      <c r="A10">
        <v>7</v>
      </c>
      <c r="B10" t="str">
        <v>日</v>
      </c>
    </row>
    <row r="11">
      <c r="A11">
        <v>8</v>
      </c>
      <c r="B11" t="str">
        <v>月</v>
      </c>
      <c r="C11">
        <v>4</v>
      </c>
      <c r="D11">
        <v>0.5868055555555556</v>
      </c>
      <c r="E11">
        <v>4</v>
      </c>
      <c r="F11">
        <v>0.5868055555555556</v>
      </c>
      <c r="G11">
        <v>5</v>
      </c>
      <c r="H11">
        <v>0.6180555555555556</v>
      </c>
      <c r="I11">
        <v>5</v>
      </c>
      <c r="J11">
        <v>0.6458333333333334</v>
      </c>
      <c r="K11">
        <v>5</v>
      </c>
      <c r="L11">
        <v>0.6458333333333334</v>
      </c>
      <c r="M11">
        <v>5</v>
      </c>
      <c r="N11">
        <v>0.6458333333333334</v>
      </c>
      <c r="P11" t="str">
        <v>○</v>
      </c>
      <c r="Q11" t="str">
        <v>なわとび記録会②③(中)、児童会活動日</v>
      </c>
    </row>
    <row r="12">
      <c r="A12">
        <v>9</v>
      </c>
      <c r="B12" t="str">
        <v>火</v>
      </c>
      <c r="C12">
        <v>5</v>
      </c>
      <c r="D12">
        <v>0.6006944444444444</v>
      </c>
      <c r="E12">
        <v>5</v>
      </c>
      <c r="F12">
        <v>0.6006944444444444</v>
      </c>
      <c r="G12">
        <v>5</v>
      </c>
      <c r="H12">
        <v>0.6006944444444444</v>
      </c>
      <c r="I12">
        <v>6</v>
      </c>
      <c r="J12">
        <v>0.6354166666666666</v>
      </c>
      <c r="K12">
        <v>6</v>
      </c>
      <c r="L12">
        <v>0.6354166666666666</v>
      </c>
      <c r="M12">
        <v>6</v>
      </c>
      <c r="N12">
        <v>0.6354166666666666</v>
      </c>
      <c r="P12" t="str">
        <v>○</v>
      </c>
      <c r="Q12" t="str">
        <v>なわとび記録会②③（低）</v>
      </c>
    </row>
    <row r="13" xml:space="preserve">
      <c r="A13">
        <v>10</v>
      </c>
      <c r="B13" t="str">
        <v>水</v>
      </c>
      <c r="C13">
        <v>5</v>
      </c>
      <c r="D13">
        <v>0.6180555555555556</v>
      </c>
      <c r="E13">
        <v>5</v>
      </c>
      <c r="F13">
        <v>0.6180555555555556</v>
      </c>
      <c r="G13">
        <v>5</v>
      </c>
      <c r="H13">
        <v>0.6180555555555556</v>
      </c>
      <c r="I13">
        <v>5</v>
      </c>
      <c r="J13">
        <v>0.6180555555555556</v>
      </c>
      <c r="K13">
        <v>5</v>
      </c>
      <c r="L13">
        <v>0.6180555555555556</v>
      </c>
      <c r="M13">
        <v>6</v>
      </c>
      <c r="N13">
        <v>0.6527777777777778</v>
      </c>
      <c r="P13" t="str">
        <v>○</v>
      </c>
      <c r="Q13" t="str" xml:space="preserve">
        <v xml:space="preserve">なわとび記録会②③（高）_x000d_
※口座振替日（最終）</v>
      </c>
    </row>
    <row r="14">
      <c r="A14">
        <v>11</v>
      </c>
      <c r="B14" t="str">
        <v>木</v>
      </c>
      <c r="Q14" t="str">
        <v xml:space="preserve">　　　　　　建国記念の日</v>
      </c>
    </row>
    <row r="15">
      <c r="A15">
        <v>12</v>
      </c>
      <c r="B15" t="str">
        <v>金</v>
      </c>
      <c r="C15">
        <v>4</v>
      </c>
      <c r="D15">
        <v>0.5416666666666666</v>
      </c>
      <c r="E15">
        <v>4</v>
      </c>
      <c r="F15">
        <v>0.5416666666666666</v>
      </c>
      <c r="G15">
        <v>5</v>
      </c>
      <c r="H15">
        <v>0.5833333333333334</v>
      </c>
      <c r="I15">
        <v>5</v>
      </c>
      <c r="J15">
        <v>0.5833333333333334</v>
      </c>
      <c r="K15">
        <v>5</v>
      </c>
      <c r="L15">
        <v>0.5833333333333334</v>
      </c>
      <c r="M15">
        <v>5</v>
      </c>
      <c r="N15">
        <v>0.5833333333333334</v>
      </c>
      <c r="O15" t="str">
        <v>短縮</v>
      </c>
      <c r="P15" t="str">
        <v>○</v>
      </c>
      <c r="Q15" t="str">
        <v>【短】新入学児童保護者説明会</v>
      </c>
    </row>
    <row r="16">
      <c r="A16">
        <v>13</v>
      </c>
      <c r="B16" t="str">
        <v>土</v>
      </c>
    </row>
    <row r="17">
      <c r="A17">
        <v>14</v>
      </c>
      <c r="B17" t="str">
        <v>日</v>
      </c>
    </row>
    <row r="18">
      <c r="A18">
        <v>15</v>
      </c>
      <c r="B18" t="str">
        <v>月</v>
      </c>
      <c r="C18">
        <v>5</v>
      </c>
      <c r="D18">
        <v>0.6180555555555556</v>
      </c>
      <c r="E18">
        <v>5</v>
      </c>
      <c r="F18">
        <v>0.6180555555555556</v>
      </c>
      <c r="G18">
        <v>5</v>
      </c>
      <c r="H18">
        <v>0.6180555555555556</v>
      </c>
      <c r="I18">
        <v>5</v>
      </c>
      <c r="J18">
        <v>0.6180555555555556</v>
      </c>
      <c r="K18">
        <v>5</v>
      </c>
      <c r="L18">
        <v>0.6180555555555556</v>
      </c>
      <c r="M18">
        <v>5</v>
      </c>
      <c r="N18">
        <v>0.6180555555555556</v>
      </c>
      <c r="P18" t="str">
        <v>○</v>
      </c>
    </row>
    <row r="19">
      <c r="A19">
        <v>16</v>
      </c>
      <c r="B19" t="str">
        <v>火</v>
      </c>
      <c r="C19">
        <v>5</v>
      </c>
      <c r="D19">
        <v>0.6006944444444444</v>
      </c>
      <c r="E19">
        <v>5</v>
      </c>
      <c r="F19">
        <v>0.6006944444444444</v>
      </c>
      <c r="G19">
        <v>5</v>
      </c>
      <c r="H19">
        <v>0.6006944444444444</v>
      </c>
      <c r="I19">
        <v>6</v>
      </c>
      <c r="J19">
        <v>0.6354166666666666</v>
      </c>
      <c r="K19">
        <v>6</v>
      </c>
      <c r="L19">
        <v>0.6354166666666666</v>
      </c>
      <c r="M19">
        <v>6</v>
      </c>
      <c r="N19">
        <v>0.6354166666666666</v>
      </c>
      <c r="P19" t="str">
        <v>○</v>
      </c>
      <c r="Q19" t="str">
        <v>クラブ活動(上:ク1)反省</v>
      </c>
    </row>
    <row r="20">
      <c r="A20">
        <v>17</v>
      </c>
      <c r="B20" t="str">
        <v>水</v>
      </c>
      <c r="C20">
        <v>4</v>
      </c>
      <c r="D20">
        <v>0.5416666666666666</v>
      </c>
      <c r="E20">
        <v>4</v>
      </c>
      <c r="F20">
        <v>0.5416666666666666</v>
      </c>
      <c r="G20">
        <v>5</v>
      </c>
      <c r="H20">
        <v>0.5833333333333334</v>
      </c>
      <c r="I20">
        <v>5</v>
      </c>
      <c r="J20">
        <v>0.5833333333333334</v>
      </c>
      <c r="K20">
        <v>5</v>
      </c>
      <c r="L20">
        <v>0.5833333333333334</v>
      </c>
      <c r="M20">
        <v>5</v>
      </c>
      <c r="N20">
        <v>0.5833333333333334</v>
      </c>
      <c r="O20" t="str">
        <v>短縮</v>
      </c>
      <c r="P20" t="str">
        <v>○</v>
      </c>
      <c r="Q20" t="str">
        <v>【短】職員会議</v>
      </c>
    </row>
    <row r="21">
      <c r="A21">
        <v>18</v>
      </c>
      <c r="B21" t="str">
        <v>木</v>
      </c>
      <c r="C21">
        <v>4</v>
      </c>
      <c r="D21">
        <v>0.5694444444444444</v>
      </c>
      <c r="E21">
        <v>5</v>
      </c>
      <c r="F21">
        <v>0.6006944444444444</v>
      </c>
      <c r="G21">
        <v>6</v>
      </c>
      <c r="H21">
        <v>0.6354166666666666</v>
      </c>
      <c r="I21">
        <v>6</v>
      </c>
      <c r="J21">
        <v>0.6354166666666666</v>
      </c>
      <c r="K21">
        <v>6</v>
      </c>
      <c r="L21">
        <v>0.6354166666666666</v>
      </c>
      <c r="M21">
        <v>6</v>
      </c>
      <c r="N21">
        <v>0.6354166666666666</v>
      </c>
      <c r="P21" t="str">
        <v>○</v>
      </c>
      <c r="Q21" t="str">
        <v>モトム号(返却のみ)</v>
      </c>
    </row>
    <row r="22">
      <c r="A22">
        <v>19</v>
      </c>
      <c r="B22" t="str">
        <v>金</v>
      </c>
      <c r="C22">
        <v>5</v>
      </c>
      <c r="D22">
        <v>0.6180555555555556</v>
      </c>
      <c r="E22">
        <v>5</v>
      </c>
      <c r="F22">
        <v>0.6180555555555556</v>
      </c>
      <c r="G22">
        <v>5</v>
      </c>
      <c r="H22">
        <v>0.6180555555555556</v>
      </c>
      <c r="I22">
        <v>5</v>
      </c>
      <c r="J22">
        <v>0.6180555555555556</v>
      </c>
      <c r="K22">
        <v>5</v>
      </c>
      <c r="L22">
        <v>0.6180555555555556</v>
      </c>
      <c r="M22">
        <v>5</v>
      </c>
      <c r="N22">
        <v>0.6180555555555556</v>
      </c>
      <c r="P22" t="str">
        <v>○</v>
      </c>
      <c r="Q22" t="str">
        <v>◇学年委員会(開票・集計)、PTA専門・実行委員会(反省)、PTA本部役員会7</v>
      </c>
    </row>
    <row r="23">
      <c r="A23">
        <v>20</v>
      </c>
      <c r="B23" t="str">
        <v>土</v>
      </c>
    </row>
    <row r="24">
      <c r="A24">
        <v>21</v>
      </c>
      <c r="B24" t="str">
        <v>日</v>
      </c>
    </row>
    <row r="25">
      <c r="A25">
        <v>22</v>
      </c>
      <c r="B25" t="str">
        <v>月</v>
      </c>
      <c r="C25">
        <v>4</v>
      </c>
      <c r="D25">
        <v>0.5868055555555556</v>
      </c>
      <c r="E25">
        <v>5</v>
      </c>
      <c r="F25">
        <v>0.6180555555555556</v>
      </c>
      <c r="G25">
        <v>5</v>
      </c>
      <c r="H25">
        <v>0.6180555555555556</v>
      </c>
      <c r="I25">
        <v>6</v>
      </c>
      <c r="J25">
        <v>0.6527777777777778</v>
      </c>
      <c r="K25">
        <v>6</v>
      </c>
      <c r="L25">
        <v>0.6527777777777778</v>
      </c>
      <c r="M25">
        <v>6</v>
      </c>
      <c r="N25">
        <v>0.6527777777777778</v>
      </c>
      <c r="P25" t="str">
        <v>○</v>
      </c>
      <c r="Q25" t="str">
        <v>※3月時間割提出</v>
      </c>
    </row>
    <row r="26">
      <c r="A26">
        <v>23</v>
      </c>
      <c r="B26" t="str">
        <v>火</v>
      </c>
      <c r="Q26" t="str">
        <v xml:space="preserve">　　　　　　　天皇誕生日</v>
      </c>
    </row>
    <row r="27">
      <c r="A27">
        <v>24</v>
      </c>
      <c r="B27" t="str">
        <v>水</v>
      </c>
      <c r="C27">
        <v>5</v>
      </c>
      <c r="D27">
        <v>0.6180555555555556</v>
      </c>
      <c r="E27">
        <v>5</v>
      </c>
      <c r="F27">
        <v>0.6180555555555556</v>
      </c>
      <c r="G27">
        <v>5</v>
      </c>
      <c r="H27">
        <v>0.6180555555555556</v>
      </c>
      <c r="I27">
        <v>6</v>
      </c>
      <c r="J27">
        <v>0.6527777777777778</v>
      </c>
      <c r="K27">
        <v>6</v>
      </c>
      <c r="L27">
        <v>0.6527777777777778</v>
      </c>
      <c r="M27">
        <v>6</v>
      </c>
      <c r="N27">
        <v>0.6527777777777778</v>
      </c>
      <c r="P27" t="str">
        <v>○</v>
      </c>
      <c r="Q27" t="str">
        <v>児童会委員会⑥最終(上：児1)</v>
      </c>
    </row>
    <row r="28">
      <c r="A28">
        <v>25</v>
      </c>
      <c r="B28" t="str">
        <v>木</v>
      </c>
      <c r="C28">
        <v>4</v>
      </c>
      <c r="D28">
        <v>0.5694444444444444</v>
      </c>
      <c r="E28">
        <v>5</v>
      </c>
      <c r="F28">
        <v>0.6006944444444444</v>
      </c>
      <c r="G28">
        <v>5</v>
      </c>
      <c r="H28">
        <v>0.6006944444444444</v>
      </c>
      <c r="I28">
        <v>6</v>
      </c>
      <c r="J28">
        <v>0.6354166666666666</v>
      </c>
      <c r="K28">
        <v>6</v>
      </c>
      <c r="L28">
        <v>0.6354166666666666</v>
      </c>
      <c r="M28">
        <v>6</v>
      </c>
      <c r="N28">
        <v>0.6354166666666666</v>
      </c>
      <c r="P28" t="str">
        <v>○</v>
      </c>
    </row>
    <row r="29">
      <c r="A29">
        <v>26</v>
      </c>
      <c r="B29" t="str">
        <v>金</v>
      </c>
      <c r="C29">
        <v>5</v>
      </c>
      <c r="D29">
        <v>0.5833333333333334</v>
      </c>
      <c r="E29">
        <v>5</v>
      </c>
      <c r="F29">
        <v>0.5833333333333334</v>
      </c>
      <c r="G29">
        <v>5</v>
      </c>
      <c r="H29">
        <v>0.5833333333333334</v>
      </c>
      <c r="I29">
        <v>5</v>
      </c>
      <c r="J29">
        <v>0.5833333333333334</v>
      </c>
      <c r="K29">
        <v>5</v>
      </c>
      <c r="L29">
        <v>0.5833333333333334</v>
      </c>
      <c r="M29">
        <v>5</v>
      </c>
      <c r="N29">
        <v>0.5833333333333334</v>
      </c>
      <c r="O29" t="str">
        <v>短縮</v>
      </c>
      <c r="P29" t="str">
        <v>○</v>
      </c>
      <c r="Q29" t="str">
        <v>【短】授業参観、PTA総会、学年学級懇談会、学年会計監査※月末統計</v>
      </c>
    </row>
    <row r="30">
      <c r="A30">
        <v>27</v>
      </c>
      <c r="B30" t="str">
        <v>土</v>
      </c>
    </row>
    <row r="31">
      <c r="A31">
        <v>28</v>
      </c>
      <c r="B31" t="str">
        <v>日</v>
      </c>
    </row>
    <row r="32">
      <c r="A32">
        <v>29</v>
      </c>
    </row>
    <row r="33" xml:space="preserve">
      <c r="A33" t="str">
        <v>留意点</v>
      </c>
      <c r="B33" t="str" xml:space="preserve">
        <v xml:space="preserve">○2/12(金)新入学児童保護者説明会のため、短縮時程に変更しました。_x000d_
　1・2年 5校時　→　4校時に変更しました。_x000d_
○2/15(月)1・2年 4校時　→　5校時、6年 6校時　→　5校時　に変更しました。</v>
      </c>
    </row>
    <row r="34">
      <c r="B34">
        <v>2</v>
      </c>
      <c r="C34" t="str">
        <v>月</v>
      </c>
      <c r="D34" t="str">
        <v>実施時数予定</v>
      </c>
    </row>
    <row r="35">
      <c r="C35" t="str">
        <v>１年</v>
      </c>
      <c r="E35" t="str">
        <v>２年</v>
      </c>
      <c r="G35" t="str">
        <v>３年</v>
      </c>
      <c r="I35" t="str">
        <v>４年</v>
      </c>
      <c r="K35" t="str">
        <v>５年</v>
      </c>
      <c r="M35" t="str">
        <v>６年</v>
      </c>
      <c r="P35" t="str">
        <v>食数</v>
      </c>
    </row>
    <row r="36">
      <c r="A36" t="str">
        <v>実施できる時数</v>
      </c>
      <c r="C36">
        <f>SUM(C4:C32)+O36</f>
        <v>81</v>
      </c>
      <c r="E36">
        <f>SUM(E4:E32)+O36</f>
        <v>86</v>
      </c>
      <c r="G36">
        <f>SUM(G4:G32)+O36</f>
        <v>92</v>
      </c>
      <c r="I36">
        <f>SUM(I4:I32)+O36</f>
        <v>99</v>
      </c>
      <c r="K36">
        <f>SUM(K4:K32)+O36</f>
        <v>99</v>
      </c>
      <c r="M36">
        <f>SUM(M4:M32)+O36</f>
        <v>100</v>
      </c>
      <c r="P36">
        <f>COUNTIF(P2:P32,"○")</f>
        <v>18</v>
      </c>
    </row>
    <row r="37">
      <c r="A37" t="str">
        <v>計画された時数</v>
      </c>
      <c r="C37">
        <v>81</v>
      </c>
      <c r="E37">
        <v>84</v>
      </c>
      <c r="G37">
        <v>92</v>
      </c>
      <c r="I37">
        <v>99</v>
      </c>
      <c r="K37">
        <v>99</v>
      </c>
      <c r="M37">
        <v>100</v>
      </c>
    </row>
    <row r="38">
      <c r="A38" t="str">
        <v>2月余剰時数</v>
      </c>
      <c r="C38">
        <f>C36-C37</f>
        <v>0</v>
      </c>
      <c r="E38">
        <f>E36-E37</f>
        <v>2</v>
      </c>
      <c r="G38">
        <f>G36-G37</f>
        <v>0</v>
      </c>
      <c r="I38">
        <f>I36-I37</f>
        <v>0</v>
      </c>
      <c r="K38">
        <f>K36-K37</f>
        <v>0</v>
      </c>
      <c r="M38">
        <f>M36-M37</f>
        <v>0</v>
      </c>
    </row>
    <row r="39">
      <c r="Q39">
        <v>3</v>
      </c>
    </row>
  </sheetData>
  <mergeCells count="35">
    <mergeCell ref="A2:C2"/>
    <mergeCell ref="M37:N37"/>
    <mergeCell ref="A38:B38"/>
    <mergeCell ref="C38:D38"/>
    <mergeCell ref="E38:F38"/>
    <mergeCell ref="G38:H38"/>
    <mergeCell ref="I38:J38"/>
    <mergeCell ref="K38:L38"/>
    <mergeCell ref="M38:N38"/>
    <mergeCell ref="A37:B37"/>
    <mergeCell ref="C37:D37"/>
    <mergeCell ref="E37:F37"/>
    <mergeCell ref="G37:H37"/>
    <mergeCell ref="I37:J37"/>
    <mergeCell ref="K37:L37"/>
    <mergeCell ref="M3:N3"/>
    <mergeCell ref="C3:D3"/>
    <mergeCell ref="E3:F3"/>
    <mergeCell ref="G3:H3"/>
    <mergeCell ref="I3:J3"/>
    <mergeCell ref="K3:L3"/>
    <mergeCell ref="B33:P33"/>
    <mergeCell ref="A36:B36"/>
    <mergeCell ref="C36:D36"/>
    <mergeCell ref="E36:F36"/>
    <mergeCell ref="G36:H36"/>
    <mergeCell ref="I36:J36"/>
    <mergeCell ref="K36:L36"/>
    <mergeCell ref="M36:N36"/>
    <mergeCell ref="C35:D35"/>
    <mergeCell ref="E35:F35"/>
    <mergeCell ref="G35:H35"/>
    <mergeCell ref="I35:J35"/>
    <mergeCell ref="K35:L35"/>
    <mergeCell ref="M35:N35"/>
  </mergeCells>
  <pageMargins left="0.2362204724409449" right="0.2362204724409449" top="0.35433070866141736" bottom="0.35433070866141736" header="0.31496062992125984" footer="0.31496062992125984"/>
  <ignoredErrors>
    <ignoredError numberStoredAsText="1" sqref="A1:Q40"/>
  </ignoredErrors>
</worksheet>
</file>

<file path=xl/worksheets/sheet30.xml><?xml version="1.0" encoding="utf-8"?>
<worksheet xmlns="http://schemas.openxmlformats.org/spreadsheetml/2006/main" xmlns:r="http://schemas.openxmlformats.org/officeDocument/2006/relationships">
  <dimension ref="A1:Q40"/>
  <sheetViews>
    <sheetView workbookViewId="0" rightToLeft="0"/>
  </sheetViews>
  <sheetData>
    <row r="2">
      <c r="A2" t="str">
        <v>令和７年度</v>
      </c>
      <c r="F2">
        <v>2</v>
      </c>
      <c r="G2" t="str">
        <v>月</v>
      </c>
      <c r="H2" t="str">
        <v>授業時数･下校予定時刻一覧表(1/27版)</v>
      </c>
      <c r="Q2" t="str">
        <v>本宮市立本宮まゆみ小学校</v>
      </c>
    </row>
    <row r="3">
      <c r="A3" t="str">
        <v>日</v>
      </c>
      <c r="B3" t="str">
        <v>曜</v>
      </c>
      <c r="C3" t="str">
        <v>１学年</v>
      </c>
      <c r="E3" t="str">
        <v>２学年</v>
      </c>
      <c r="G3" t="str">
        <v>３学年</v>
      </c>
      <c r="I3" t="str">
        <v>４学年</v>
      </c>
      <c r="K3" t="str">
        <v>５学年</v>
      </c>
      <c r="M3" t="str">
        <v>６学年</v>
      </c>
      <c r="O3" t="str">
        <v>特別日程</v>
      </c>
      <c r="P3" t="str">
        <v>給食</v>
      </c>
      <c r="Q3" t="str">
        <v>行　　事　　等</v>
      </c>
    </row>
    <row r="4">
      <c r="A4">
        <v>1</v>
      </c>
      <c r="B4" t="str">
        <v>日</v>
      </c>
    </row>
    <row r="5">
      <c r="A5">
        <v>2</v>
      </c>
      <c r="B5" t="str">
        <v>月</v>
      </c>
      <c r="C5">
        <v>4</v>
      </c>
      <c r="D5">
        <v>0.5868055555555556</v>
      </c>
      <c r="E5">
        <v>4</v>
      </c>
      <c r="F5">
        <v>0.5868055555555556</v>
      </c>
      <c r="G5">
        <v>5</v>
      </c>
      <c r="H5">
        <v>0.6180555555555556</v>
      </c>
      <c r="I5">
        <v>5</v>
      </c>
      <c r="J5">
        <v>0.6180555555555556</v>
      </c>
      <c r="K5">
        <v>5</v>
      </c>
      <c r="L5">
        <v>0.6180555555555556</v>
      </c>
      <c r="M5">
        <v>5</v>
      </c>
      <c r="N5">
        <v>0.6180555555555556</v>
      </c>
      <c r="P5" t="str">
        <v>○</v>
      </c>
      <c r="Q5" t="str">
        <v>登校班班長会、教育課程編成全体会6、安全点検、教育長訪問9:15～11:05</v>
      </c>
    </row>
    <row r="6">
      <c r="A6">
        <v>3</v>
      </c>
      <c r="B6" t="str">
        <v>火</v>
      </c>
      <c r="C6">
        <v>5</v>
      </c>
      <c r="D6">
        <v>0.6006944444444444</v>
      </c>
      <c r="E6">
        <v>5</v>
      </c>
      <c r="F6">
        <v>0.6006944444444444</v>
      </c>
      <c r="G6">
        <v>5</v>
      </c>
      <c r="H6">
        <v>0.6006944444444444</v>
      </c>
      <c r="I6">
        <v>6</v>
      </c>
      <c r="J6">
        <v>0.6354166666666666</v>
      </c>
      <c r="K6">
        <v>6</v>
      </c>
      <c r="L6">
        <v>0.6354166666666666</v>
      </c>
      <c r="M6">
        <v>6</v>
      </c>
      <c r="N6">
        <v>0.6354166666666666</v>
      </c>
      <c r="P6" t="str">
        <v>○</v>
      </c>
      <c r="Q6" t="str">
        <v>性教育②～④（4・6・まゆさく）、一中体験入学及び保護者説明会</v>
      </c>
    </row>
    <row r="7">
      <c r="A7">
        <v>4</v>
      </c>
      <c r="B7" t="str">
        <v>水</v>
      </c>
      <c r="C7">
        <v>4</v>
      </c>
      <c r="D7">
        <v>0.5868055555555556</v>
      </c>
      <c r="E7">
        <v>5</v>
      </c>
      <c r="F7">
        <v>0.6180555555555556</v>
      </c>
      <c r="G7">
        <v>6</v>
      </c>
      <c r="H7">
        <v>0.6527777777777778</v>
      </c>
      <c r="I7">
        <v>6</v>
      </c>
      <c r="J7">
        <v>0.6527777777777778</v>
      </c>
      <c r="K7">
        <v>6</v>
      </c>
      <c r="L7">
        <v>0.6527777777777778</v>
      </c>
      <c r="M7">
        <v>6</v>
      </c>
      <c r="N7">
        <v>0.6527777777777778</v>
      </c>
      <c r="P7" t="str">
        <v>○</v>
      </c>
      <c r="Q7" t="str">
        <v>標準学力検査（国）、校内就学指導委員会4</v>
      </c>
    </row>
    <row r="8">
      <c r="A8">
        <v>5</v>
      </c>
      <c r="B8" t="str">
        <v>木</v>
      </c>
      <c r="C8">
        <v>4</v>
      </c>
      <c r="D8">
        <v>0.5694444444444444</v>
      </c>
      <c r="E8">
        <v>4</v>
      </c>
      <c r="F8">
        <v>0.5694444444444444</v>
      </c>
      <c r="G8">
        <v>6</v>
      </c>
      <c r="H8">
        <v>0.6354166666666666</v>
      </c>
      <c r="I8">
        <v>6</v>
      </c>
      <c r="J8">
        <v>0.6354166666666666</v>
      </c>
      <c r="K8">
        <v>6</v>
      </c>
      <c r="L8">
        <v>0.6354166666666666</v>
      </c>
      <c r="M8">
        <v>6</v>
      </c>
      <c r="N8">
        <v>0.6354166666666666</v>
      </c>
      <c r="P8" t="str">
        <v>○</v>
      </c>
      <c r="Q8" t="str">
        <v>標準学力検査（算）、学年役員投票用紙配付(～12日)※1月月案反省提出</v>
      </c>
    </row>
    <row r="9">
      <c r="A9">
        <v>6</v>
      </c>
      <c r="B9" t="str">
        <v>金</v>
      </c>
      <c r="C9">
        <v>5</v>
      </c>
      <c r="D9">
        <v>0.5833333333333334</v>
      </c>
      <c r="E9">
        <v>5</v>
      </c>
      <c r="F9">
        <v>0.5833333333333334</v>
      </c>
      <c r="G9">
        <v>5</v>
      </c>
      <c r="H9">
        <v>0.5833333333333334</v>
      </c>
      <c r="I9">
        <v>5</v>
      </c>
      <c r="J9">
        <v>0.5833333333333334</v>
      </c>
      <c r="K9">
        <v>5</v>
      </c>
      <c r="L9">
        <v>0.5833333333333334</v>
      </c>
      <c r="M9">
        <v>5</v>
      </c>
      <c r="N9">
        <v>0.5833333333333334</v>
      </c>
      <c r="O9" t="str">
        <v>特別</v>
      </c>
      <c r="P9" t="str">
        <v>○</v>
      </c>
      <c r="Q9" t="str">
        <v>【特別】豆まき集会（業間）、漢字検定、生徒指導・現職教育委員会</v>
      </c>
    </row>
    <row r="10">
      <c r="A10">
        <v>7</v>
      </c>
      <c r="B10" t="str">
        <v>土</v>
      </c>
    </row>
    <row r="11">
      <c r="A11">
        <v>8</v>
      </c>
      <c r="B11" t="str">
        <v>日</v>
      </c>
    </row>
    <row r="12">
      <c r="A12">
        <v>9</v>
      </c>
      <c r="B12" t="str">
        <v>月</v>
      </c>
      <c r="C12">
        <v>4</v>
      </c>
      <c r="D12">
        <v>0.5868055555555556</v>
      </c>
      <c r="E12">
        <v>4</v>
      </c>
      <c r="F12">
        <v>0.5868055555555556</v>
      </c>
      <c r="G12">
        <v>5</v>
      </c>
      <c r="H12">
        <v>0.6180555555555556</v>
      </c>
      <c r="I12">
        <v>5</v>
      </c>
      <c r="J12">
        <v>0.6458333333333334</v>
      </c>
      <c r="K12">
        <v>5</v>
      </c>
      <c r="L12">
        <v>0.6458333333333334</v>
      </c>
      <c r="M12">
        <v>5</v>
      </c>
      <c r="N12">
        <v>0.6458333333333334</v>
      </c>
      <c r="P12" t="str">
        <v>○</v>
      </c>
      <c r="Q12" t="str">
        <v>なわとび記録会②③（中）、児童会活動日</v>
      </c>
    </row>
    <row r="13">
      <c r="A13">
        <v>10</v>
      </c>
      <c r="B13" t="str">
        <v>火</v>
      </c>
      <c r="C13">
        <v>5</v>
      </c>
      <c r="D13">
        <v>0.6006944444444444</v>
      </c>
      <c r="E13">
        <v>5</v>
      </c>
      <c r="F13">
        <v>0.6006944444444444</v>
      </c>
      <c r="G13">
        <v>5</v>
      </c>
      <c r="H13">
        <v>0.6006944444444444</v>
      </c>
      <c r="I13">
        <v>6</v>
      </c>
      <c r="J13">
        <v>0.6354166666666666</v>
      </c>
      <c r="K13">
        <v>6</v>
      </c>
      <c r="L13">
        <v>0.6354166666666666</v>
      </c>
      <c r="M13">
        <v>6</v>
      </c>
      <c r="N13">
        <v>0.6354166666666666</v>
      </c>
      <c r="P13" t="str">
        <v>○</v>
      </c>
      <c r="Q13" t="str">
        <v>なわとび記録会②③（低）※口座振替日（最終）</v>
      </c>
    </row>
    <row r="14">
      <c r="A14">
        <v>11</v>
      </c>
      <c r="B14" t="str">
        <v>水</v>
      </c>
      <c r="Q14" t="str">
        <v xml:space="preserve">　　　　　　建国記念の日</v>
      </c>
    </row>
    <row r="15">
      <c r="A15">
        <v>12</v>
      </c>
      <c r="B15" t="str">
        <v>木</v>
      </c>
      <c r="C15">
        <v>5</v>
      </c>
      <c r="D15">
        <v>0.6006944444444444</v>
      </c>
      <c r="E15">
        <v>5</v>
      </c>
      <c r="F15">
        <v>0.6006944444444444</v>
      </c>
      <c r="G15">
        <v>5</v>
      </c>
      <c r="H15">
        <v>0.6006944444444444</v>
      </c>
      <c r="I15">
        <v>5</v>
      </c>
      <c r="J15">
        <v>0.6006944444444444</v>
      </c>
      <c r="K15">
        <v>5</v>
      </c>
      <c r="L15">
        <v>0.6006944444444444</v>
      </c>
      <c r="M15">
        <v>5</v>
      </c>
      <c r="N15">
        <v>0.6006944444444444</v>
      </c>
      <c r="P15" t="str">
        <v>○</v>
      </c>
      <c r="Q15" t="str">
        <v>なわとび記録会②③（高）、新入学児童保護者説明会</v>
      </c>
    </row>
    <row r="16">
      <c r="A16">
        <v>13</v>
      </c>
      <c r="B16" t="str">
        <v>金</v>
      </c>
      <c r="C16">
        <v>5</v>
      </c>
      <c r="D16">
        <v>0.5833333333333334</v>
      </c>
      <c r="E16">
        <v>5</v>
      </c>
      <c r="F16">
        <v>0.5833333333333334</v>
      </c>
      <c r="G16">
        <v>5</v>
      </c>
      <c r="H16">
        <v>0.5833333333333334</v>
      </c>
      <c r="I16">
        <v>5</v>
      </c>
      <c r="J16">
        <v>0.5833333333333334</v>
      </c>
      <c r="K16">
        <v>5</v>
      </c>
      <c r="L16">
        <v>0.5833333333333334</v>
      </c>
      <c r="M16">
        <v>5</v>
      </c>
      <c r="N16">
        <v>0.5833333333333334</v>
      </c>
      <c r="O16" t="str">
        <v>短縮</v>
      </c>
      <c r="P16" t="str">
        <v>○</v>
      </c>
      <c r="Q16" t="str">
        <v>【短】算数検定</v>
      </c>
    </row>
    <row r="17">
      <c r="A17">
        <v>14</v>
      </c>
      <c r="B17" t="str">
        <v>土</v>
      </c>
    </row>
    <row r="18">
      <c r="A18">
        <v>15</v>
      </c>
      <c r="B18" t="str">
        <v>日</v>
      </c>
    </row>
    <row r="19">
      <c r="A19">
        <v>16</v>
      </c>
      <c r="B19" t="str">
        <v>月</v>
      </c>
      <c r="C19">
        <v>4</v>
      </c>
      <c r="D19">
        <v>0.5868055555555556</v>
      </c>
      <c r="E19">
        <v>4</v>
      </c>
      <c r="F19">
        <v>0.5868055555555556</v>
      </c>
      <c r="G19">
        <v>5</v>
      </c>
      <c r="H19">
        <v>0.6180555555555556</v>
      </c>
      <c r="I19">
        <v>5</v>
      </c>
      <c r="J19">
        <v>0.6180555555555556</v>
      </c>
      <c r="K19">
        <v>5</v>
      </c>
      <c r="L19">
        <v>0.6180555555555556</v>
      </c>
      <c r="M19">
        <v>6</v>
      </c>
      <c r="N19">
        <v>0.6527777777777778</v>
      </c>
      <c r="P19" t="str">
        <v>○</v>
      </c>
      <c r="Q19" t="str">
        <v>３年社会「むかしのくらし」③</v>
      </c>
    </row>
    <row r="20">
      <c r="A20">
        <v>17</v>
      </c>
      <c r="B20" t="str">
        <v>火</v>
      </c>
      <c r="C20">
        <v>5</v>
      </c>
      <c r="D20">
        <v>0.5833333333333334</v>
      </c>
      <c r="E20">
        <v>5</v>
      </c>
      <c r="F20">
        <v>0.5833333333333334</v>
      </c>
      <c r="G20">
        <v>5</v>
      </c>
      <c r="H20">
        <v>0.5833333333333334</v>
      </c>
      <c r="I20">
        <v>5</v>
      </c>
      <c r="J20">
        <v>0.5833333333333334</v>
      </c>
      <c r="K20">
        <v>5</v>
      </c>
      <c r="L20">
        <v>0.5833333333333334</v>
      </c>
      <c r="M20">
        <v>5</v>
      </c>
      <c r="N20">
        <v>0.5833333333333334</v>
      </c>
      <c r="O20" t="str">
        <v>短縮</v>
      </c>
      <c r="P20" t="str">
        <v>○</v>
      </c>
      <c r="Q20" t="str">
        <v>【短】職員会議</v>
      </c>
    </row>
    <row r="21">
      <c r="A21">
        <v>18</v>
      </c>
      <c r="B21" t="str">
        <v>水</v>
      </c>
      <c r="C21">
        <v>4</v>
      </c>
      <c r="D21">
        <v>0.5868055555555556</v>
      </c>
      <c r="E21">
        <v>4</v>
      </c>
      <c r="F21">
        <v>0.5868055555555556</v>
      </c>
      <c r="G21">
        <v>5</v>
      </c>
      <c r="H21">
        <v>0.6180555555555556</v>
      </c>
      <c r="I21">
        <v>6</v>
      </c>
      <c r="J21">
        <v>0.6527777777777778</v>
      </c>
      <c r="K21">
        <v>6</v>
      </c>
      <c r="L21">
        <v>0.6527777777777778</v>
      </c>
      <c r="M21">
        <v>6</v>
      </c>
      <c r="N21">
        <v>0.6527777777777778</v>
      </c>
      <c r="P21" t="str">
        <v>○</v>
      </c>
      <c r="Q21" t="str">
        <v>６年国際理解講演会⑤⑥</v>
      </c>
    </row>
    <row r="22">
      <c r="A22">
        <v>19</v>
      </c>
      <c r="B22" t="str">
        <v>木</v>
      </c>
      <c r="C22">
        <v>4</v>
      </c>
      <c r="D22">
        <v>0.5694444444444444</v>
      </c>
      <c r="E22">
        <v>4</v>
      </c>
      <c r="F22">
        <v>0.5694444444444444</v>
      </c>
      <c r="G22">
        <v>6</v>
      </c>
      <c r="H22">
        <v>0.6354166666666666</v>
      </c>
      <c r="I22">
        <v>6</v>
      </c>
      <c r="J22">
        <v>0.6354166666666666</v>
      </c>
      <c r="K22">
        <v>6</v>
      </c>
      <c r="L22">
        <v>0.6354166666666666</v>
      </c>
      <c r="M22">
        <v>6</v>
      </c>
      <c r="N22">
        <v>0.6354166666666666</v>
      </c>
      <c r="P22" t="str">
        <v>○</v>
      </c>
    </row>
    <row r="23">
      <c r="A23">
        <v>20</v>
      </c>
      <c r="B23" t="str">
        <v>金</v>
      </c>
      <c r="C23">
        <v>5</v>
      </c>
      <c r="D23">
        <v>0.6180555555555556</v>
      </c>
      <c r="E23">
        <v>5</v>
      </c>
      <c r="F23">
        <v>0.6180555555555556</v>
      </c>
      <c r="G23">
        <v>5</v>
      </c>
      <c r="H23">
        <v>0.6180555555555556</v>
      </c>
      <c r="I23">
        <v>5</v>
      </c>
      <c r="J23">
        <v>0.6180555555555556</v>
      </c>
      <c r="K23">
        <v>5</v>
      </c>
      <c r="L23">
        <v>0.6180555555555556</v>
      </c>
      <c r="M23">
        <v>5</v>
      </c>
      <c r="N23">
        <v>0.6180555555555556</v>
      </c>
      <c r="P23" t="str">
        <v>○</v>
      </c>
      <c r="Q23" t="str">
        <v>学年委員会（開票集計）、PTA専門・実行委員会(反省)、PTA本部役員会7※3月時間割提出</v>
      </c>
    </row>
    <row r="24">
      <c r="A24">
        <v>21</v>
      </c>
      <c r="B24" t="str">
        <v>土</v>
      </c>
    </row>
    <row r="25">
      <c r="A25">
        <v>22</v>
      </c>
      <c r="B25" t="str">
        <v>日</v>
      </c>
    </row>
    <row r="26">
      <c r="A26">
        <v>23</v>
      </c>
      <c r="B26" t="str">
        <v>月</v>
      </c>
      <c r="Q26" t="str">
        <v xml:space="preserve">　　　　　　　天皇誕生日</v>
      </c>
    </row>
    <row r="27">
      <c r="A27">
        <v>24</v>
      </c>
      <c r="B27" t="str">
        <v>火</v>
      </c>
      <c r="C27">
        <v>5</v>
      </c>
      <c r="D27">
        <v>0.6006944444444444</v>
      </c>
      <c r="E27">
        <v>5</v>
      </c>
      <c r="F27">
        <v>0.6006944444444444</v>
      </c>
      <c r="G27">
        <v>5</v>
      </c>
      <c r="H27">
        <v>0.6006944444444444</v>
      </c>
      <c r="I27">
        <v>6</v>
      </c>
      <c r="J27">
        <v>0.6354166666666666</v>
      </c>
      <c r="K27">
        <v>6</v>
      </c>
      <c r="L27">
        <v>0.6354166666666666</v>
      </c>
      <c r="M27">
        <v>6</v>
      </c>
      <c r="N27">
        <v>0.6354166666666666</v>
      </c>
      <c r="P27" t="str">
        <v>○</v>
      </c>
      <c r="Q27" t="str">
        <v>児童会委員会⑥最終(上：児1)</v>
      </c>
    </row>
    <row r="28">
      <c r="A28">
        <v>25</v>
      </c>
      <c r="B28" t="str">
        <v>水</v>
      </c>
      <c r="C28">
        <v>4</v>
      </c>
      <c r="D28">
        <v>0.5868055555555556</v>
      </c>
      <c r="E28">
        <v>5</v>
      </c>
      <c r="F28">
        <v>0.6180555555555556</v>
      </c>
      <c r="G28">
        <v>5</v>
      </c>
      <c r="H28">
        <v>0.6180555555555556</v>
      </c>
      <c r="I28">
        <v>6</v>
      </c>
      <c r="J28">
        <v>0.6527777777777778</v>
      </c>
      <c r="K28">
        <v>6</v>
      </c>
      <c r="L28">
        <v>0.6527777777777778</v>
      </c>
      <c r="M28">
        <v>6</v>
      </c>
      <c r="N28">
        <v>0.6527777777777778</v>
      </c>
      <c r="P28" t="str">
        <v>○</v>
      </c>
    </row>
    <row r="29">
      <c r="A29">
        <v>26</v>
      </c>
      <c r="B29" t="str">
        <v>木</v>
      </c>
      <c r="C29">
        <v>4</v>
      </c>
      <c r="D29">
        <v>0.5694444444444444</v>
      </c>
      <c r="E29">
        <v>5</v>
      </c>
      <c r="F29">
        <v>0.6006944444444444</v>
      </c>
      <c r="G29">
        <v>5</v>
      </c>
      <c r="H29">
        <v>0.6006944444444444</v>
      </c>
      <c r="I29">
        <v>6</v>
      </c>
      <c r="J29">
        <v>0.6354166666666666</v>
      </c>
      <c r="K29">
        <v>6</v>
      </c>
      <c r="L29">
        <v>0.6354166666666666</v>
      </c>
      <c r="M29">
        <v>6</v>
      </c>
      <c r="N29">
        <v>0.6354166666666666</v>
      </c>
      <c r="P29" t="str">
        <v>○</v>
      </c>
      <c r="Q29" t="str">
        <v>交通教育専門員の方への感謝の会(朝)、卒業式山台設置</v>
      </c>
    </row>
    <row r="30">
      <c r="A30">
        <v>27</v>
      </c>
      <c r="B30" t="str">
        <v>金</v>
      </c>
      <c r="C30">
        <v>5</v>
      </c>
      <c r="D30">
        <v>0.5833333333333334</v>
      </c>
      <c r="E30">
        <v>5</v>
      </c>
      <c r="F30">
        <v>0.5833333333333334</v>
      </c>
      <c r="G30">
        <v>5</v>
      </c>
      <c r="H30">
        <v>0.5833333333333334</v>
      </c>
      <c r="I30">
        <v>5</v>
      </c>
      <c r="J30">
        <v>0.5833333333333334</v>
      </c>
      <c r="K30">
        <v>5</v>
      </c>
      <c r="L30">
        <v>0.5833333333333334</v>
      </c>
      <c r="M30">
        <v>5</v>
      </c>
      <c r="N30">
        <v>0.5833333333333334</v>
      </c>
      <c r="O30" t="str">
        <v>短縮</v>
      </c>
      <c r="P30" t="str">
        <v>○</v>
      </c>
      <c r="Q30" t="str">
        <v>【短】授業参観、PTA総会、学年学級懇談会、学年会計監査※月末統計</v>
      </c>
    </row>
    <row r="31">
      <c r="A31">
        <v>28</v>
      </c>
      <c r="B31" t="str">
        <v>土</v>
      </c>
    </row>
    <row r="32">
      <c r="A32">
        <v>29</v>
      </c>
      <c r="B32" t="str">
        <v>土</v>
      </c>
    </row>
    <row r="33" xml:space="preserve">
      <c r="A33" t="str">
        <v>留意点</v>
      </c>
      <c r="B33" t="str" xml:space="preserve">
        <v xml:space="preserve">〇２月４日（水）３・４年生６校時、２月１６日（月）６年生６校時（マイナス解消分）_x000d_
〇２月４日（水）が通常日程となり、下校時刻が変更になっています。_x000d_
〇２月６日（金）の業間に豆まき集会を行うため、特別日程になっています。下校時刻は変わりません。_x000d_
○２月１８日（水）の下校時刻を修正しました（黄色の部分）。時数は変わりません。</v>
      </c>
    </row>
    <row r="34">
      <c r="B34">
        <v>2</v>
      </c>
      <c r="C34" t="str">
        <v>月</v>
      </c>
      <c r="D34" t="str">
        <v>実施時数予定</v>
      </c>
    </row>
    <row r="35">
      <c r="C35" t="str">
        <v>１年</v>
      </c>
      <c r="E35" t="str">
        <v>２年</v>
      </c>
      <c r="G35" t="str">
        <v>３年</v>
      </c>
      <c r="I35" t="str">
        <v>４年</v>
      </c>
      <c r="K35" t="str">
        <v>５年</v>
      </c>
      <c r="M35" t="str">
        <v>６年</v>
      </c>
      <c r="P35" t="str">
        <v>食数</v>
      </c>
    </row>
    <row r="36">
      <c r="A36" t="str">
        <v>実施できる時数</v>
      </c>
      <c r="C36">
        <f>SUM(C4:C32)+O36</f>
        <v>81</v>
      </c>
      <c r="E36">
        <f>SUM(E4:E32)+O36</f>
        <v>84</v>
      </c>
      <c r="G36">
        <f>SUM(G4:G32)+O36</f>
        <v>93</v>
      </c>
      <c r="I36">
        <f>SUM(I4:I32)+O36</f>
        <v>99</v>
      </c>
      <c r="K36">
        <f>SUM(K4:K32)+O36</f>
        <v>99</v>
      </c>
      <c r="M36">
        <f>SUM(M4:M32)+O36</f>
        <v>100</v>
      </c>
      <c r="P36">
        <f>COUNTIF(P2:P32,"○")</f>
        <v>18</v>
      </c>
    </row>
    <row r="37">
      <c r="A37" t="str">
        <v>計画された時数</v>
      </c>
      <c r="C37">
        <v>80</v>
      </c>
      <c r="E37">
        <v>83</v>
      </c>
      <c r="G37">
        <v>91</v>
      </c>
      <c r="I37">
        <v>97</v>
      </c>
      <c r="K37">
        <v>97</v>
      </c>
      <c r="M37">
        <v>99</v>
      </c>
    </row>
    <row r="38">
      <c r="A38" t="str">
        <v>2月余剰時数</v>
      </c>
      <c r="C38">
        <f>C36-C37</f>
        <v>1</v>
      </c>
      <c r="E38">
        <f>E36-E37</f>
        <v>1</v>
      </c>
      <c r="G38">
        <f>G36-G37</f>
        <v>2</v>
      </c>
      <c r="I38">
        <f>I36-I37</f>
        <v>2</v>
      </c>
      <c r="K38">
        <f>K36-K37</f>
        <v>2</v>
      </c>
      <c r="M38">
        <f>M36-M37</f>
        <v>1</v>
      </c>
    </row>
    <row r="39">
      <c r="Q39">
        <v>3</v>
      </c>
    </row>
  </sheetData>
  <mergeCells count="35">
    <mergeCell ref="A2:C2"/>
    <mergeCell ref="C3:D3"/>
    <mergeCell ref="E3:F3"/>
    <mergeCell ref="G3:H3"/>
    <mergeCell ref="I3:J3"/>
    <mergeCell ref="M3:N3"/>
    <mergeCell ref="B33:P33"/>
    <mergeCell ref="C35:D35"/>
    <mergeCell ref="E35:F35"/>
    <mergeCell ref="G35:H35"/>
    <mergeCell ref="I35:J35"/>
    <mergeCell ref="K35:L35"/>
    <mergeCell ref="M35:N35"/>
    <mergeCell ref="K3:L3"/>
    <mergeCell ref="M36:N36"/>
    <mergeCell ref="A37:B37"/>
    <mergeCell ref="C37:D37"/>
    <mergeCell ref="E37:F37"/>
    <mergeCell ref="G37:H37"/>
    <mergeCell ref="I37:J37"/>
    <mergeCell ref="K37:L37"/>
    <mergeCell ref="M37:N37"/>
    <mergeCell ref="A36:B36"/>
    <mergeCell ref="C36:D36"/>
    <mergeCell ref="E36:F36"/>
    <mergeCell ref="G36:H36"/>
    <mergeCell ref="I36:J36"/>
    <mergeCell ref="K36:L36"/>
    <mergeCell ref="M38:N38"/>
    <mergeCell ref="A38:B38"/>
    <mergeCell ref="C38:D38"/>
    <mergeCell ref="E38:F38"/>
    <mergeCell ref="G38:H38"/>
    <mergeCell ref="I38:J38"/>
    <mergeCell ref="K38:L38"/>
  </mergeCells>
  <pageMargins left="0.2362204724409449" right="0.2362204724409449" top="0.35433070866141736" bottom="0.35433070866141736" header="0.31496062992125984" footer="0.31496062992125984"/>
  <ignoredErrors>
    <ignoredError numberStoredAsText="1" sqref="A1:Q40"/>
  </ignoredErrors>
</worksheet>
</file>

<file path=xl/worksheets/sheet31.xml><?xml version="1.0" encoding="utf-8"?>
<worksheet xmlns="http://schemas.openxmlformats.org/spreadsheetml/2006/main" xmlns:r="http://schemas.openxmlformats.org/officeDocument/2006/relationships">
  <dimension ref="A1:Q42"/>
  <sheetViews>
    <sheetView workbookViewId="0" rightToLeft="0"/>
  </sheetViews>
  <sheetData>
    <row r="2">
      <c r="A2" t="str">
        <v>令和８年度</v>
      </c>
      <c r="F2" t="str">
        <v>3月</v>
      </c>
      <c r="G2" t="str">
        <v>授業時数･下校予定時刻一覧表</v>
      </c>
      <c r="Q2" t="str">
        <v>本宮市立本宮まゆみ小学校</v>
      </c>
    </row>
    <row r="3">
      <c r="A3" t="str">
        <v>日</v>
      </c>
      <c r="B3" t="str">
        <v>曜</v>
      </c>
      <c r="C3" t="str">
        <v>１学年</v>
      </c>
      <c r="E3" t="str">
        <v>２学年</v>
      </c>
      <c r="G3" t="str">
        <v>３学年</v>
      </c>
      <c r="I3" t="str">
        <v>４学年</v>
      </c>
      <c r="K3" t="str">
        <v>５学年</v>
      </c>
      <c r="M3" t="str">
        <v>６学年</v>
      </c>
      <c r="O3" t="str">
        <v>特別日程</v>
      </c>
      <c r="P3" t="str">
        <v>給食</v>
      </c>
      <c r="Q3" t="str">
        <v>行　　事　　等</v>
      </c>
    </row>
    <row r="4">
      <c r="A4">
        <v>1</v>
      </c>
      <c r="B4" t="str">
        <v>月</v>
      </c>
      <c r="C4">
        <v>4</v>
      </c>
      <c r="D4">
        <v>0.5868055555555556</v>
      </c>
      <c r="E4">
        <v>4</v>
      </c>
      <c r="F4">
        <v>0.5868055555555556</v>
      </c>
      <c r="G4">
        <v>5</v>
      </c>
      <c r="H4">
        <v>0.6180555555555556</v>
      </c>
      <c r="I4">
        <v>5</v>
      </c>
      <c r="J4">
        <v>0.6180555555555556</v>
      </c>
      <c r="K4">
        <v>5</v>
      </c>
      <c r="L4">
        <v>0.6180555555555556</v>
      </c>
      <c r="M4">
        <v>5</v>
      </c>
      <c r="N4">
        <v>0.6180555555555556</v>
      </c>
      <c r="P4" t="str">
        <v>○</v>
      </c>
      <c r="Q4" t="str">
        <v>安全点検</v>
      </c>
    </row>
    <row r="5" xml:space="preserve">
      <c r="A5">
        <v>2</v>
      </c>
      <c r="B5" t="str">
        <v>火</v>
      </c>
      <c r="C5">
        <v>5</v>
      </c>
      <c r="D5">
        <v>0.5833333333333334</v>
      </c>
      <c r="E5">
        <v>5</v>
      </c>
      <c r="F5">
        <v>0.5833333333333334</v>
      </c>
      <c r="G5">
        <v>5</v>
      </c>
      <c r="H5">
        <v>0.5833333333333334</v>
      </c>
      <c r="I5">
        <v>5</v>
      </c>
      <c r="J5">
        <v>0.5833333333333334</v>
      </c>
      <c r="K5">
        <v>5</v>
      </c>
      <c r="L5">
        <v>0.5833333333333334</v>
      </c>
      <c r="M5">
        <v>5</v>
      </c>
      <c r="N5">
        <v>0.5833333333333334</v>
      </c>
      <c r="O5" t="str">
        <v>短縮</v>
      </c>
      <c r="P5" t="str">
        <v>○</v>
      </c>
      <c r="Q5" t="str" xml:space="preserve">
        <v xml:space="preserve">【短】認定会、職員会議_x000d_
</v>
      </c>
    </row>
    <row r="6">
      <c r="A6">
        <v>3</v>
      </c>
      <c r="B6" t="str">
        <v>水</v>
      </c>
      <c r="C6">
        <v>6</v>
      </c>
      <c r="D6">
        <v>0.6215277777777778</v>
      </c>
      <c r="E6">
        <v>6</v>
      </c>
      <c r="F6">
        <v>0.6215277777777778</v>
      </c>
      <c r="G6">
        <v>6</v>
      </c>
      <c r="H6">
        <v>0.6215277777777778</v>
      </c>
      <c r="I6">
        <v>6</v>
      </c>
      <c r="J6">
        <v>0.6215277777777778</v>
      </c>
      <c r="K6">
        <v>6</v>
      </c>
      <c r="L6">
        <v>0.6215277777777778</v>
      </c>
      <c r="M6">
        <v>6</v>
      </c>
      <c r="N6">
        <v>0.6215277777777778</v>
      </c>
      <c r="O6" t="str">
        <v>特別</v>
      </c>
      <c r="P6" t="str">
        <v>○</v>
      </c>
      <c r="Q6" t="str">
        <v>【特】６年生を送る会(含む鼓笛移杖式)(下:児2、上:児1総1)</v>
      </c>
    </row>
    <row r="7" xml:space="preserve">
      <c r="A7">
        <v>4</v>
      </c>
      <c r="B7" t="str">
        <v>木</v>
      </c>
      <c r="C7">
        <v>4</v>
      </c>
      <c r="D7">
        <v>0.5416666666666666</v>
      </c>
      <c r="E7">
        <v>5</v>
      </c>
      <c r="F7">
        <v>0.5833333333333334</v>
      </c>
      <c r="G7">
        <v>5</v>
      </c>
      <c r="H7">
        <v>0.5833333333333334</v>
      </c>
      <c r="I7">
        <v>5</v>
      </c>
      <c r="J7">
        <v>0.5833333333333334</v>
      </c>
      <c r="K7">
        <v>5</v>
      </c>
      <c r="L7">
        <v>0.5833333333333334</v>
      </c>
      <c r="M7">
        <v>5</v>
      </c>
      <c r="N7">
        <v>0.5833333333333334</v>
      </c>
      <c r="O7" t="str">
        <v>短縮</v>
      </c>
      <c r="P7" t="str">
        <v>○</v>
      </c>
      <c r="Q7" t="str" xml:space="preserve">
        <v xml:space="preserve">【短】学年末事務処理_x000d_
◇学校運営協議会6_x000d_
※２月月案反省提出</v>
      </c>
    </row>
    <row r="8">
      <c r="A8">
        <v>5</v>
      </c>
      <c r="B8" t="str">
        <v>金</v>
      </c>
      <c r="C8">
        <v>5</v>
      </c>
      <c r="D8">
        <v>0.5416666666666666</v>
      </c>
      <c r="E8">
        <v>5</v>
      </c>
      <c r="F8">
        <v>0.5416666666666666</v>
      </c>
      <c r="G8">
        <v>5</v>
      </c>
      <c r="H8">
        <v>0.5833333333333334</v>
      </c>
      <c r="I8">
        <v>5</v>
      </c>
      <c r="J8">
        <v>0.5833333333333334</v>
      </c>
      <c r="K8">
        <v>5</v>
      </c>
      <c r="L8">
        <v>0.5833333333333334</v>
      </c>
      <c r="M8">
        <v>5</v>
      </c>
      <c r="N8">
        <v>0.5833333333333334</v>
      </c>
      <c r="O8" t="str">
        <v>短縮</v>
      </c>
      <c r="P8" t="str">
        <v>○</v>
      </c>
      <c r="Q8" t="str">
        <v>【短】学期末事務整理、パイプ椅子出し(業間)、卒業式山台設置、交通教育専門員の方への感謝の会(1・2年下校時)</v>
      </c>
    </row>
    <row r="9">
      <c r="A9">
        <v>6</v>
      </c>
      <c r="B9" t="str">
        <v>土</v>
      </c>
    </row>
    <row r="10">
      <c r="A10">
        <v>7</v>
      </c>
      <c r="B10" t="str">
        <v>日</v>
      </c>
    </row>
    <row r="11" xml:space="preserve">
      <c r="A11">
        <v>8</v>
      </c>
      <c r="B11" t="str">
        <v>月</v>
      </c>
      <c r="C11">
        <v>4</v>
      </c>
      <c r="D11">
        <v>0.5416666666666666</v>
      </c>
      <c r="E11">
        <v>4</v>
      </c>
      <c r="F11">
        <v>0.5416666666666666</v>
      </c>
      <c r="G11">
        <v>5</v>
      </c>
      <c r="H11">
        <v>0.5833333333333334</v>
      </c>
      <c r="I11">
        <v>5</v>
      </c>
      <c r="J11">
        <v>0.5833333333333334</v>
      </c>
      <c r="K11">
        <v>5</v>
      </c>
      <c r="L11">
        <v>0.5833333333333334</v>
      </c>
      <c r="M11">
        <v>5</v>
      </c>
      <c r="N11">
        <v>0.5833333333333334</v>
      </c>
      <c r="O11" t="str">
        <v>短縮</v>
      </c>
      <c r="P11" t="str">
        <v>○</v>
      </c>
      <c r="Q11" t="str" xml:space="preserve">
        <v xml:space="preserve">【短】学期末事務整理_x000d_
※ドリーム文庫回収</v>
      </c>
    </row>
    <row r="12" xml:space="preserve">
      <c r="A12">
        <v>9</v>
      </c>
      <c r="B12" t="str">
        <v>火</v>
      </c>
      <c r="C12">
        <v>4</v>
      </c>
      <c r="D12">
        <v>0.5416666666666666</v>
      </c>
      <c r="E12">
        <v>4</v>
      </c>
      <c r="F12">
        <v>0.5416666666666666</v>
      </c>
      <c r="G12">
        <v>6</v>
      </c>
      <c r="H12">
        <v>0.6215277777777778</v>
      </c>
      <c r="I12">
        <v>6</v>
      </c>
      <c r="J12">
        <v>0.6215277777777778</v>
      </c>
      <c r="K12">
        <v>6</v>
      </c>
      <c r="L12">
        <v>0.6215277777777778</v>
      </c>
      <c r="M12">
        <v>6</v>
      </c>
      <c r="N12">
        <v>0.6215277777777778</v>
      </c>
      <c r="O12" t="str">
        <v>短縮</v>
      </c>
      <c r="P12" t="str">
        <v>○</v>
      </c>
      <c r="Q12" t="str" xml:space="preserve">
        <v xml:space="preserve">【短】学期末事務整理_x000d_
※通知票原簿提出締切</v>
      </c>
    </row>
    <row r="13">
      <c r="A13">
        <v>10</v>
      </c>
      <c r="B13" t="str">
        <v>水</v>
      </c>
      <c r="C13">
        <v>5</v>
      </c>
      <c r="D13">
        <v>0.5833333333333334</v>
      </c>
      <c r="E13">
        <v>5</v>
      </c>
      <c r="F13">
        <v>0.5833333333333334</v>
      </c>
      <c r="G13">
        <v>6</v>
      </c>
      <c r="H13">
        <v>0.6215277777777778</v>
      </c>
      <c r="I13">
        <v>6</v>
      </c>
      <c r="J13">
        <v>0.6215277777777778</v>
      </c>
      <c r="K13">
        <v>6</v>
      </c>
      <c r="L13">
        <v>0.6215277777777778</v>
      </c>
      <c r="M13">
        <v>6</v>
      </c>
      <c r="N13">
        <v>0.6215277777777778</v>
      </c>
      <c r="O13" t="str">
        <v>短縮</v>
      </c>
      <c r="P13" t="str">
        <v>○</v>
      </c>
      <c r="Q13" t="str">
        <v>【短】校外子ども会2（業間）、生徒指導・現職教育委員会</v>
      </c>
    </row>
    <row r="14">
      <c r="A14">
        <v>11</v>
      </c>
      <c r="B14" t="str">
        <v>木</v>
      </c>
      <c r="C14">
        <v>4</v>
      </c>
      <c r="D14">
        <v>0.5416666666666666</v>
      </c>
      <c r="E14">
        <v>5</v>
      </c>
      <c r="F14">
        <v>0.5833333333333334</v>
      </c>
      <c r="G14">
        <v>5</v>
      </c>
      <c r="H14">
        <v>0.5833333333333334</v>
      </c>
      <c r="I14">
        <v>6</v>
      </c>
      <c r="J14">
        <v>0.6215277777777778</v>
      </c>
      <c r="K14">
        <v>6</v>
      </c>
      <c r="L14">
        <v>0.6215277777777778</v>
      </c>
      <c r="M14">
        <v>6</v>
      </c>
      <c r="N14">
        <v>0.6215277777777778</v>
      </c>
      <c r="O14" t="str">
        <v>短縮</v>
      </c>
      <c r="P14" t="str">
        <v>○</v>
      </c>
      <c r="Q14" t="str">
        <v>【短】卒業式練習1⑥（上：行1）</v>
      </c>
    </row>
    <row r="15">
      <c r="A15">
        <v>12</v>
      </c>
      <c r="B15" t="str">
        <v>金</v>
      </c>
      <c r="C15">
        <v>5</v>
      </c>
      <c r="D15">
        <v>0.6180555555555556</v>
      </c>
      <c r="E15">
        <v>5</v>
      </c>
      <c r="F15">
        <v>0.6180555555555556</v>
      </c>
      <c r="G15">
        <v>5</v>
      </c>
      <c r="H15">
        <v>0.6180555555555556</v>
      </c>
      <c r="I15">
        <v>5</v>
      </c>
      <c r="J15">
        <v>0.6458333333333334</v>
      </c>
      <c r="K15">
        <v>5</v>
      </c>
      <c r="L15">
        <v>0.6458333333333334</v>
      </c>
      <c r="M15">
        <v>5</v>
      </c>
      <c r="N15">
        <v>0.6458333333333334</v>
      </c>
      <c r="P15" t="str">
        <v>○</v>
      </c>
      <c r="Q15" t="str">
        <v>児童会活動日</v>
      </c>
    </row>
    <row r="16">
      <c r="A16">
        <v>13</v>
      </c>
      <c r="B16" t="str">
        <v>土</v>
      </c>
    </row>
    <row r="17">
      <c r="A17">
        <v>14</v>
      </c>
      <c r="B17" t="str">
        <v>日</v>
      </c>
    </row>
    <row r="18" xml:space="preserve">
      <c r="A18">
        <v>15</v>
      </c>
      <c r="B18" t="str">
        <v>月</v>
      </c>
      <c r="C18">
        <v>4</v>
      </c>
      <c r="D18">
        <v>0.5416666666666666</v>
      </c>
      <c r="E18">
        <v>4</v>
      </c>
      <c r="F18">
        <v>0.5416666666666666</v>
      </c>
      <c r="G18">
        <v>4</v>
      </c>
      <c r="H18">
        <v>0.5416666666666666</v>
      </c>
      <c r="I18">
        <v>6</v>
      </c>
      <c r="J18">
        <v>0.6215277777777778</v>
      </c>
      <c r="K18">
        <v>6</v>
      </c>
      <c r="L18">
        <v>0.6215277777777778</v>
      </c>
      <c r="M18">
        <v>6</v>
      </c>
      <c r="N18">
        <v>0.6215277777777778</v>
      </c>
      <c r="O18" t="str">
        <v>短縮</v>
      </c>
      <c r="P18" t="str">
        <v>○</v>
      </c>
      <c r="Q18" t="str" xml:space="preserve">
        <v xml:space="preserve">【短】卒業式予行⑤⑥（上：行2）、反省会15:00～_x000d_
</v>
      </c>
    </row>
    <row r="19" xml:space="preserve">
      <c r="A19">
        <v>16</v>
      </c>
      <c r="B19" t="str">
        <v>火</v>
      </c>
      <c r="C19">
        <v>5</v>
      </c>
      <c r="D19">
        <v>0.6006944444444444</v>
      </c>
      <c r="E19">
        <v>5</v>
      </c>
      <c r="F19">
        <v>0.6006944444444444</v>
      </c>
      <c r="G19">
        <v>5</v>
      </c>
      <c r="H19">
        <v>0.6006944444444444</v>
      </c>
      <c r="I19">
        <v>5</v>
      </c>
      <c r="J19">
        <v>0.6006944444444444</v>
      </c>
      <c r="K19">
        <v>6</v>
      </c>
      <c r="L19">
        <v>0.6354166666666666</v>
      </c>
      <c r="M19">
        <v>6</v>
      </c>
      <c r="N19">
        <v>0.6354166666666666</v>
      </c>
      <c r="P19" t="str">
        <v>○</v>
      </c>
      <c r="Q19" t="str" xml:space="preserve">
        <v xml:space="preserve">※通知票清書提出締切_x000d_
</v>
      </c>
    </row>
    <row r="20">
      <c r="A20">
        <v>17</v>
      </c>
      <c r="B20" t="str">
        <v>水</v>
      </c>
      <c r="C20">
        <v>4</v>
      </c>
      <c r="D20">
        <v>0.5868055555555556</v>
      </c>
      <c r="E20">
        <v>4</v>
      </c>
      <c r="F20">
        <v>0.5868055555555556</v>
      </c>
      <c r="G20">
        <v>5</v>
      </c>
      <c r="H20">
        <v>0.6180555555555556</v>
      </c>
      <c r="I20">
        <v>5</v>
      </c>
      <c r="J20">
        <v>0.6180555555555556</v>
      </c>
      <c r="K20">
        <v>5</v>
      </c>
      <c r="L20">
        <v>0.6180555555555556</v>
      </c>
      <c r="M20">
        <v>5</v>
      </c>
      <c r="N20">
        <v>0.6180555555555556</v>
      </c>
      <c r="P20" t="str">
        <v>○</v>
      </c>
    </row>
    <row r="21">
      <c r="A21">
        <v>18</v>
      </c>
      <c r="B21" t="str">
        <v>木</v>
      </c>
      <c r="C21">
        <v>5</v>
      </c>
      <c r="D21">
        <v>0.6006944444444444</v>
      </c>
      <c r="E21">
        <v>5</v>
      </c>
      <c r="F21">
        <v>0.6006944444444444</v>
      </c>
      <c r="G21">
        <v>5</v>
      </c>
      <c r="H21">
        <v>0.6006944444444444</v>
      </c>
      <c r="I21">
        <v>5</v>
      </c>
      <c r="J21">
        <v>0.6006944444444444</v>
      </c>
      <c r="K21">
        <v>5</v>
      </c>
      <c r="L21">
        <v>0.6006944444444444</v>
      </c>
      <c r="M21">
        <v>5</v>
      </c>
      <c r="N21">
        <v>0.6006944444444444</v>
      </c>
      <c r="P21" t="str">
        <v>○</v>
      </c>
      <c r="Q21" t="str">
        <v>第３回校内美化活動⑤（全：教1）、ワックスがけ２</v>
      </c>
    </row>
    <row r="22">
      <c r="A22">
        <v>19</v>
      </c>
      <c r="B22" t="str">
        <v>金</v>
      </c>
      <c r="C22">
        <v>4</v>
      </c>
      <c r="D22">
        <v>0.5416666666666666</v>
      </c>
      <c r="E22">
        <v>4</v>
      </c>
      <c r="F22">
        <v>0.5416666666666666</v>
      </c>
      <c r="G22">
        <v>4</v>
      </c>
      <c r="H22">
        <v>0.5416666666666666</v>
      </c>
      <c r="I22">
        <v>5</v>
      </c>
      <c r="J22">
        <v>0.5833333333333334</v>
      </c>
      <c r="K22">
        <v>5</v>
      </c>
      <c r="L22">
        <v>0.6319444444444444</v>
      </c>
      <c r="M22">
        <v>5</v>
      </c>
      <c r="N22">
        <v>0.5833333333333334</v>
      </c>
      <c r="O22" t="str">
        <v>短縮</v>
      </c>
      <c r="P22" t="str">
        <v>弁</v>
      </c>
      <c r="Q22" t="str">
        <v>【短】修了式④（１～５年：行1）、卒業式練習2⑤（上：行1）、式場・卒業生教室準備作業（5年：欠1）、弁当日</v>
      </c>
    </row>
    <row r="23">
      <c r="A23">
        <v>20</v>
      </c>
      <c r="B23" t="str">
        <v>土</v>
      </c>
    </row>
    <row r="24">
      <c r="A24">
        <v>21</v>
      </c>
      <c r="B24" t="str">
        <v>日</v>
      </c>
      <c r="Q24" t="str">
        <v>春分の日</v>
      </c>
    </row>
    <row r="25">
      <c r="A25">
        <v>22</v>
      </c>
      <c r="B25" t="str">
        <v>月</v>
      </c>
      <c r="Q25" t="str">
        <v>振替休日</v>
      </c>
    </row>
    <row r="26" xml:space="preserve">
      <c r="A26">
        <v>23</v>
      </c>
      <c r="B26" t="str">
        <v>火</v>
      </c>
      <c r="C26">
        <v>1</v>
      </c>
      <c r="D26">
        <v>0.3680555555555556</v>
      </c>
      <c r="E26">
        <v>1</v>
      </c>
      <c r="F26">
        <v>0.3680555555555556</v>
      </c>
      <c r="G26">
        <v>1</v>
      </c>
      <c r="H26">
        <v>0.3680555555555556</v>
      </c>
      <c r="I26">
        <v>4</v>
      </c>
      <c r="J26">
        <v>0.5</v>
      </c>
      <c r="K26">
        <v>4</v>
      </c>
      <c r="L26">
        <v>0.5</v>
      </c>
      <c r="M26">
        <v>3</v>
      </c>
      <c r="N26">
        <v>0.5</v>
      </c>
      <c r="O26" t="str">
        <v>特別</v>
      </c>
      <c r="P26" t="str">
        <v>×</v>
      </c>
      <c r="Q26" t="str" xml:space="preserve">
        <v xml:space="preserve">【特】卒業式(上:行2)、職員会議_x000d_
※月末、学期末、学年末統計</v>
      </c>
    </row>
    <row r="27">
      <c r="A27">
        <v>24</v>
      </c>
      <c r="B27" t="str">
        <v>水</v>
      </c>
      <c r="Q27" t="str">
        <v>学年末休業</v>
      </c>
    </row>
    <row r="28">
      <c r="A28">
        <v>25</v>
      </c>
      <c r="B28" t="str">
        <v>木</v>
      </c>
    </row>
    <row r="29">
      <c r="A29">
        <v>26</v>
      </c>
      <c r="B29" t="str">
        <v>金</v>
      </c>
      <c r="Q29" t="str">
        <v>離任式、教室移動</v>
      </c>
    </row>
    <row r="30">
      <c r="A30">
        <v>27</v>
      </c>
      <c r="B30" t="str">
        <v>土</v>
      </c>
    </row>
    <row r="31">
      <c r="A31">
        <v>28</v>
      </c>
      <c r="B31" t="str">
        <v>日</v>
      </c>
    </row>
    <row r="32">
      <c r="A32">
        <v>29</v>
      </c>
      <c r="B32" t="str">
        <v>月</v>
      </c>
    </row>
    <row r="33">
      <c r="A33">
        <v>30</v>
      </c>
      <c r="B33" t="str">
        <v>火</v>
      </c>
    </row>
    <row r="34">
      <c r="A34">
        <v>31</v>
      </c>
      <c r="B34" t="str">
        <v>水</v>
      </c>
    </row>
    <row r="35" xml:space="preserve">
      <c r="A35" t="str" xml:space="preserve">
        <v xml:space="preserve">留意点_x000d_
及び_x000d_
変更点</v>
      </c>
    </row>
    <row r="36">
      <c r="B36">
        <v>3</v>
      </c>
      <c r="C36" t="str">
        <v>月</v>
      </c>
      <c r="D36" t="str">
        <v>実施時数予定</v>
      </c>
    </row>
    <row r="37">
      <c r="C37" t="str">
        <v>１年</v>
      </c>
      <c r="E37" t="str">
        <v>２年</v>
      </c>
      <c r="G37" t="str">
        <v>３年</v>
      </c>
      <c r="I37" t="str">
        <v>４年</v>
      </c>
      <c r="K37" t="str">
        <v>５年</v>
      </c>
      <c r="M37" t="str">
        <v>６年</v>
      </c>
      <c r="O37" t="str">
        <v>Ｍ時数</v>
      </c>
      <c r="P37" t="str">
        <v>食数</v>
      </c>
    </row>
    <row r="38">
      <c r="A38" t="str">
        <v>実施できる時数</v>
      </c>
      <c r="C38">
        <f>SUM(C4:C34)+O38</f>
        <v>69</v>
      </c>
      <c r="E38">
        <f>SUM(E4:E34)+O38</f>
        <v>71</v>
      </c>
      <c r="G38">
        <f>SUM(G4:G34)+O38</f>
        <v>77</v>
      </c>
      <c r="I38">
        <f>SUM(I4:I34)+O38</f>
        <v>84</v>
      </c>
      <c r="K38">
        <f>SUM(K4:K34)+O38</f>
        <v>85</v>
      </c>
      <c r="M38">
        <f>SUM(M4:M34)+O38</f>
        <v>84</v>
      </c>
      <c r="P38">
        <f>COUNTIF(P4:P34,"○")</f>
        <v>14</v>
      </c>
    </row>
    <row r="39">
      <c r="A39" t="str">
        <v>計画された時数</v>
      </c>
      <c r="C39">
        <v>66</v>
      </c>
      <c r="E39">
        <v>69</v>
      </c>
      <c r="G39">
        <v>76</v>
      </c>
      <c r="I39">
        <v>83</v>
      </c>
      <c r="K39">
        <v>83</v>
      </c>
      <c r="M39">
        <v>83</v>
      </c>
    </row>
    <row r="40">
      <c r="A40" t="str">
        <v>3月余剰時数</v>
      </c>
      <c r="C40">
        <f>C38-C39</f>
        <v>3</v>
      </c>
      <c r="E40">
        <f>E38-E39</f>
        <v>2</v>
      </c>
      <c r="G40">
        <f>G38-G39</f>
        <v>1</v>
      </c>
      <c r="I40">
        <f>I38-I39</f>
        <v>1</v>
      </c>
      <c r="K40">
        <f>K38-K39</f>
        <v>2</v>
      </c>
      <c r="M40">
        <f>M38-M39</f>
        <v>1</v>
      </c>
    </row>
    <row r="41">
      <c r="Q41">
        <v>3</v>
      </c>
    </row>
  </sheetData>
  <mergeCells count="29">
    <mergeCell ref="M39:N39"/>
    <mergeCell ref="A40:B40"/>
    <mergeCell ref="C40:D40"/>
    <mergeCell ref="E40:F40"/>
    <mergeCell ref="G40:H40"/>
    <mergeCell ref="I40:J40"/>
    <mergeCell ref="K40:L40"/>
    <mergeCell ref="M40:N40"/>
    <mergeCell ref="A39:B39"/>
    <mergeCell ref="C39:D39"/>
    <mergeCell ref="E39:F39"/>
    <mergeCell ref="G39:H39"/>
    <mergeCell ref="I39:J39"/>
    <mergeCell ref="K39:L39"/>
    <mergeCell ref="A2:D2"/>
    <mergeCell ref="B35:Q35"/>
    <mergeCell ref="K38:L38"/>
    <mergeCell ref="M38:N38"/>
    <mergeCell ref="A38:B38"/>
    <mergeCell ref="C38:D38"/>
    <mergeCell ref="E38:F38"/>
    <mergeCell ref="G38:H38"/>
    <mergeCell ref="I38:J38"/>
    <mergeCell ref="M3:N3"/>
    <mergeCell ref="C3:D3"/>
    <mergeCell ref="E3:F3"/>
    <mergeCell ref="G3:H3"/>
    <mergeCell ref="I3:J3"/>
    <mergeCell ref="K3:L3"/>
  </mergeCells>
  <pageMargins left="0.7086614173228347" right="0.4724409448818898" top="0.3937007874015748" bottom="0.4330708661417323" header="0.31496062992125984" footer="0.31496062992125984"/>
  <ignoredErrors>
    <ignoredError numberStoredAsText="1" sqref="A1:Q42"/>
  </ignoredErrors>
</worksheet>
</file>

<file path=xl/worksheets/sheet32.xml><?xml version="1.0" encoding="utf-8"?>
<worksheet xmlns="http://schemas.openxmlformats.org/spreadsheetml/2006/main" xmlns:r="http://schemas.openxmlformats.org/officeDocument/2006/relationships">
  <dimension ref="A1:Q42"/>
  <sheetViews>
    <sheetView workbookViewId="0" rightToLeft="0"/>
  </sheetViews>
  <sheetData>
    <row r="2">
      <c r="A2" t="str">
        <v>令和7年度</v>
      </c>
      <c r="F2" t="str">
        <v>3月</v>
      </c>
      <c r="G2" t="str">
        <v>授業時数･下校予定時刻一覧表(2/20版)</v>
      </c>
      <c r="Q2" t="str">
        <v>本宮市立本宮まゆみ小学校</v>
      </c>
    </row>
    <row r="3">
      <c r="A3" t="str">
        <v>日</v>
      </c>
      <c r="B3" t="str">
        <v>曜</v>
      </c>
      <c r="C3" t="str">
        <v>１学年</v>
      </c>
      <c r="E3" t="str">
        <v>２学年</v>
      </c>
      <c r="G3" t="str">
        <v>３学年</v>
      </c>
      <c r="I3" t="str">
        <v>４学年</v>
      </c>
      <c r="K3" t="str">
        <v>５学年</v>
      </c>
      <c r="M3" t="str">
        <v>６学年</v>
      </c>
      <c r="O3" t="str">
        <v>特別日程</v>
      </c>
      <c r="P3" t="str">
        <v>給食</v>
      </c>
      <c r="Q3" t="str">
        <v>行　　事　　等</v>
      </c>
    </row>
    <row r="4">
      <c r="A4">
        <v>1</v>
      </c>
      <c r="B4" t="str">
        <v>日</v>
      </c>
    </row>
    <row r="5">
      <c r="A5">
        <v>2</v>
      </c>
      <c r="B5" t="str">
        <v>月</v>
      </c>
      <c r="C5">
        <v>4</v>
      </c>
      <c r="D5">
        <v>0.5868055555555556</v>
      </c>
      <c r="E5">
        <v>4</v>
      </c>
      <c r="F5">
        <v>0.5868055555555556</v>
      </c>
      <c r="G5">
        <v>5</v>
      </c>
      <c r="H5">
        <v>0.6180555555555556</v>
      </c>
      <c r="I5">
        <v>5</v>
      </c>
      <c r="J5">
        <v>0.6180555555555556</v>
      </c>
      <c r="K5">
        <v>5</v>
      </c>
      <c r="L5">
        <v>0.6180555555555556</v>
      </c>
      <c r="M5">
        <v>6</v>
      </c>
      <c r="N5">
        <v>0.6527777777777778</v>
      </c>
      <c r="P5" t="str">
        <v>○</v>
      </c>
      <c r="Q5" t="str">
        <v>安全点検</v>
      </c>
    </row>
    <row r="6" xml:space="preserve">
      <c r="A6">
        <v>3</v>
      </c>
      <c r="B6" t="str">
        <v>火</v>
      </c>
      <c r="C6">
        <v>5</v>
      </c>
      <c r="D6">
        <v>0.5833333333333334</v>
      </c>
      <c r="E6">
        <v>5</v>
      </c>
      <c r="F6">
        <v>0.5833333333333334</v>
      </c>
      <c r="G6">
        <v>5</v>
      </c>
      <c r="H6">
        <v>0.5833333333333334</v>
      </c>
      <c r="I6">
        <v>5</v>
      </c>
      <c r="J6">
        <v>0.5833333333333334</v>
      </c>
      <c r="K6">
        <v>5</v>
      </c>
      <c r="L6">
        <v>0.5833333333333334</v>
      </c>
      <c r="M6">
        <v>5</v>
      </c>
      <c r="N6">
        <v>0.5833333333333334</v>
      </c>
      <c r="O6" t="str">
        <v>短縮</v>
      </c>
      <c r="P6" t="str">
        <v>○</v>
      </c>
      <c r="Q6" t="str" xml:space="preserve">
        <v xml:space="preserve">【短】認定会、職員会議_x000d_
</v>
      </c>
    </row>
    <row r="7" xml:space="preserve">
      <c r="A7">
        <v>4</v>
      </c>
      <c r="B7" t="str">
        <v>水</v>
      </c>
      <c r="C7">
        <v>6</v>
      </c>
      <c r="D7">
        <v>0.6215277777777778</v>
      </c>
      <c r="E7">
        <v>6</v>
      </c>
      <c r="F7">
        <v>0.6215277777777778</v>
      </c>
      <c r="G7">
        <v>6</v>
      </c>
      <c r="H7">
        <v>0.6215277777777778</v>
      </c>
      <c r="I7">
        <v>6</v>
      </c>
      <c r="J7">
        <v>0.6215277777777778</v>
      </c>
      <c r="K7">
        <v>6</v>
      </c>
      <c r="L7">
        <v>0.6215277777777778</v>
      </c>
      <c r="M7">
        <v>6</v>
      </c>
      <c r="N7">
        <v>0.6215277777777778</v>
      </c>
      <c r="O7" t="str">
        <v>特別</v>
      </c>
      <c r="P7" t="str">
        <v>○</v>
      </c>
      <c r="Q7" t="str" xml:space="preserve">
        <v xml:space="preserve">【特】６年生を送る会(含む鼓笛移杖式)(下:児2、上:児1総1)_x000d_
※２月月案反省提出</v>
      </c>
    </row>
    <row r="8">
      <c r="A8">
        <v>5</v>
      </c>
      <c r="B8" t="str">
        <v>木</v>
      </c>
      <c r="C8">
        <v>4</v>
      </c>
      <c r="D8">
        <v>0.5416666666666666</v>
      </c>
      <c r="E8">
        <v>4</v>
      </c>
      <c r="F8">
        <v>0.5416666666666666</v>
      </c>
      <c r="G8">
        <v>5</v>
      </c>
      <c r="H8">
        <v>0.5833333333333334</v>
      </c>
      <c r="I8">
        <v>5</v>
      </c>
      <c r="J8">
        <v>0.5833333333333334</v>
      </c>
      <c r="K8">
        <v>5</v>
      </c>
      <c r="L8">
        <v>0.5833333333333334</v>
      </c>
      <c r="M8">
        <v>5</v>
      </c>
      <c r="N8">
        <v>0.5833333333333334</v>
      </c>
      <c r="O8" t="str">
        <v>短縮</v>
      </c>
      <c r="P8" t="str">
        <v>○</v>
      </c>
      <c r="Q8" t="str">
        <v>【短】学期末事務整理</v>
      </c>
    </row>
    <row r="9">
      <c r="A9">
        <v>6</v>
      </c>
      <c r="B9" t="str">
        <v>金</v>
      </c>
      <c r="C9">
        <v>4</v>
      </c>
      <c r="D9">
        <v>0.5625</v>
      </c>
      <c r="E9">
        <v>4</v>
      </c>
      <c r="F9">
        <v>0.5625</v>
      </c>
      <c r="G9">
        <v>5</v>
      </c>
      <c r="H9">
        <v>0.5833333333333334</v>
      </c>
      <c r="I9">
        <v>5</v>
      </c>
      <c r="J9">
        <v>0.5833333333333334</v>
      </c>
      <c r="K9">
        <v>5</v>
      </c>
      <c r="L9">
        <v>0.5833333333333334</v>
      </c>
      <c r="M9">
        <v>5</v>
      </c>
      <c r="N9">
        <v>0.5833333333333334</v>
      </c>
      <c r="O9" t="str">
        <v>短縮</v>
      </c>
      <c r="P9" t="str">
        <v>○</v>
      </c>
      <c r="Q9" t="str">
        <v>【短】学期末事務整理、交通教育専門員の方への感謝の会(低学年下校時)</v>
      </c>
    </row>
    <row r="10">
      <c r="A10">
        <v>7</v>
      </c>
      <c r="B10" t="str">
        <v>土</v>
      </c>
    </row>
    <row r="11">
      <c r="A11">
        <v>8</v>
      </c>
      <c r="B11" t="str">
        <v>日</v>
      </c>
    </row>
    <row r="12" xml:space="preserve">
      <c r="A12">
        <v>9</v>
      </c>
      <c r="B12" t="str">
        <v>月</v>
      </c>
      <c r="C12">
        <v>4</v>
      </c>
      <c r="D12">
        <v>0.5416666666666666</v>
      </c>
      <c r="E12">
        <v>4</v>
      </c>
      <c r="F12">
        <v>0.5416666666666666</v>
      </c>
      <c r="G12">
        <v>5</v>
      </c>
      <c r="H12">
        <v>0.5833333333333334</v>
      </c>
      <c r="I12">
        <v>5</v>
      </c>
      <c r="J12">
        <v>0.5833333333333334</v>
      </c>
      <c r="K12">
        <v>5</v>
      </c>
      <c r="L12">
        <v>0.5833333333333334</v>
      </c>
      <c r="M12">
        <v>5</v>
      </c>
      <c r="N12">
        <v>0.5833333333333334</v>
      </c>
      <c r="O12" t="str">
        <v>短縮</v>
      </c>
      <c r="P12" t="str">
        <v>○</v>
      </c>
      <c r="Q12" t="str" xml:space="preserve">
        <v xml:space="preserve">【短】学期末事務整理_x000d_
※通知票原簿提出締切</v>
      </c>
    </row>
    <row r="13" xml:space="preserve">
      <c r="A13">
        <v>10</v>
      </c>
      <c r="B13" t="str">
        <v>火</v>
      </c>
      <c r="C13">
        <v>4</v>
      </c>
      <c r="D13">
        <v>0.5694444444444444</v>
      </c>
      <c r="E13">
        <v>4</v>
      </c>
      <c r="F13">
        <v>0.5694444444444444</v>
      </c>
      <c r="G13">
        <v>6</v>
      </c>
      <c r="H13">
        <v>0.6354166666666666</v>
      </c>
      <c r="I13">
        <v>6</v>
      </c>
      <c r="J13">
        <v>0.6354166666666666</v>
      </c>
      <c r="K13">
        <v>6</v>
      </c>
      <c r="L13">
        <v>0.6354166666666666</v>
      </c>
      <c r="M13">
        <v>6</v>
      </c>
      <c r="N13">
        <v>0.6354166666666666</v>
      </c>
      <c r="O13" t="str">
        <v>特別</v>
      </c>
      <c r="P13" t="str">
        <v>○</v>
      </c>
      <c r="Q13" t="str" xml:space="preserve">
        <v xml:space="preserve">【特】校外子ども会2（業間）_x000d_
生徒指導・現職教育委員会_x000d_
※ドリーム文庫回収</v>
      </c>
    </row>
    <row r="14">
      <c r="A14">
        <v>11</v>
      </c>
      <c r="B14" t="str">
        <v>水</v>
      </c>
      <c r="C14">
        <v>4</v>
      </c>
      <c r="D14">
        <v>0.5868055555555556</v>
      </c>
      <c r="E14">
        <v>5</v>
      </c>
      <c r="F14">
        <v>0.6180555555555556</v>
      </c>
      <c r="G14">
        <v>5</v>
      </c>
      <c r="H14">
        <v>0.6180555555555556</v>
      </c>
      <c r="I14">
        <v>5</v>
      </c>
      <c r="J14">
        <v>0.6180555555555556</v>
      </c>
      <c r="K14">
        <v>5</v>
      </c>
      <c r="L14">
        <v>0.6180555555555556</v>
      </c>
      <c r="M14">
        <v>5</v>
      </c>
      <c r="N14">
        <v>0.6180555555555556</v>
      </c>
      <c r="P14" t="str">
        <v>○</v>
      </c>
    </row>
    <row r="15">
      <c r="A15">
        <v>12</v>
      </c>
      <c r="B15" t="str">
        <v>木</v>
      </c>
      <c r="C15">
        <v>4</v>
      </c>
      <c r="D15">
        <v>0.5416666666666666</v>
      </c>
      <c r="E15">
        <v>5</v>
      </c>
      <c r="F15">
        <v>0.5833333333333334</v>
      </c>
      <c r="G15">
        <v>5</v>
      </c>
      <c r="H15">
        <v>0.5833333333333334</v>
      </c>
      <c r="I15">
        <v>6</v>
      </c>
      <c r="J15">
        <v>0.6215277777777778</v>
      </c>
      <c r="K15">
        <v>6</v>
      </c>
      <c r="L15">
        <v>0.6215277777777778</v>
      </c>
      <c r="M15">
        <v>6</v>
      </c>
      <c r="N15">
        <v>0.6215277777777778</v>
      </c>
      <c r="O15" t="str">
        <v>短縮</v>
      </c>
      <c r="P15" t="str">
        <v>○</v>
      </c>
      <c r="Q15" t="str">
        <v>【短】卒業式練習1⑥（上：行1）</v>
      </c>
    </row>
    <row r="16">
      <c r="A16">
        <v>13</v>
      </c>
      <c r="B16" t="str">
        <v>金</v>
      </c>
      <c r="C16">
        <v>5</v>
      </c>
      <c r="D16">
        <v>0.6180555555555556</v>
      </c>
      <c r="E16">
        <v>5</v>
      </c>
      <c r="F16">
        <v>0.6180555555555556</v>
      </c>
      <c r="G16">
        <v>5</v>
      </c>
      <c r="H16">
        <v>0.6180555555555556</v>
      </c>
      <c r="I16">
        <v>5</v>
      </c>
      <c r="J16">
        <v>0.6458333333333334</v>
      </c>
      <c r="K16">
        <v>5</v>
      </c>
      <c r="L16">
        <v>0.6458333333333334</v>
      </c>
      <c r="M16">
        <v>5</v>
      </c>
      <c r="N16">
        <v>0.6458333333333334</v>
      </c>
      <c r="P16" t="str">
        <v>○</v>
      </c>
      <c r="Q16" t="str">
        <v>児童会活動日</v>
      </c>
    </row>
    <row r="17">
      <c r="A17">
        <v>14</v>
      </c>
      <c r="B17" t="str">
        <v>土</v>
      </c>
    </row>
    <row r="18">
      <c r="A18">
        <v>15</v>
      </c>
      <c r="B18" t="str">
        <v>日</v>
      </c>
    </row>
    <row r="19">
      <c r="A19">
        <v>16</v>
      </c>
      <c r="B19" t="str">
        <v>月</v>
      </c>
      <c r="C19">
        <v>4</v>
      </c>
      <c r="D19">
        <v>0.5868055555555556</v>
      </c>
      <c r="E19">
        <v>4</v>
      </c>
      <c r="F19">
        <v>0.5868055555555556</v>
      </c>
      <c r="G19">
        <v>5</v>
      </c>
      <c r="H19">
        <v>0.6180555555555556</v>
      </c>
      <c r="I19">
        <v>5</v>
      </c>
      <c r="J19">
        <v>0.6180555555555556</v>
      </c>
      <c r="K19">
        <v>5</v>
      </c>
      <c r="L19">
        <v>0.6180555555555556</v>
      </c>
      <c r="M19">
        <v>5</v>
      </c>
      <c r="N19">
        <v>0.6180555555555556</v>
      </c>
      <c r="P19" t="str">
        <v>○</v>
      </c>
    </row>
    <row r="20" xml:space="preserve">
      <c r="A20">
        <v>17</v>
      </c>
      <c r="B20" t="str">
        <v>火</v>
      </c>
      <c r="C20">
        <v>4</v>
      </c>
      <c r="D20">
        <v>0.5416666666666666</v>
      </c>
      <c r="E20">
        <v>4</v>
      </c>
      <c r="F20">
        <v>0.5416666666666666</v>
      </c>
      <c r="G20">
        <v>4</v>
      </c>
      <c r="H20">
        <v>0.5416666666666666</v>
      </c>
      <c r="I20">
        <v>6</v>
      </c>
      <c r="J20">
        <v>0.6215277777777778</v>
      </c>
      <c r="K20">
        <v>6</v>
      </c>
      <c r="L20">
        <v>0.6215277777777778</v>
      </c>
      <c r="M20">
        <v>6</v>
      </c>
      <c r="N20">
        <v>0.6215277777777778</v>
      </c>
      <c r="O20" t="str">
        <v>短縮</v>
      </c>
      <c r="P20" t="str">
        <v>○</v>
      </c>
      <c r="Q20" t="str" xml:space="preserve">
        <v xml:space="preserve">【短】卒業式予行⑤⑥（上：行2）、反省会15:00～_x000d_
※通知票清書提出締切_x000d_
</v>
      </c>
    </row>
    <row r="21">
      <c r="A21">
        <v>18</v>
      </c>
      <c r="B21" t="str">
        <v>水</v>
      </c>
      <c r="C21">
        <v>5</v>
      </c>
      <c r="D21">
        <v>0.6180555555555556</v>
      </c>
      <c r="E21">
        <v>5</v>
      </c>
      <c r="F21">
        <v>0.6180555555555556</v>
      </c>
      <c r="G21">
        <v>5</v>
      </c>
      <c r="H21">
        <v>0.6180555555555556</v>
      </c>
      <c r="I21">
        <v>5</v>
      </c>
      <c r="J21">
        <v>0.6180555555555556</v>
      </c>
      <c r="K21">
        <v>5</v>
      </c>
      <c r="L21">
        <v>0.6180555555555556</v>
      </c>
      <c r="M21">
        <v>5</v>
      </c>
      <c r="N21">
        <v>0.6180555555555556</v>
      </c>
      <c r="P21" t="str">
        <v>○</v>
      </c>
      <c r="Q21" t="str">
        <v>第３回校内美化活動⑤（全：教1）、ワックスがけ２</v>
      </c>
    </row>
    <row r="22">
      <c r="A22">
        <v>19</v>
      </c>
      <c r="B22" t="str">
        <v>木</v>
      </c>
      <c r="C22">
        <v>4</v>
      </c>
      <c r="D22">
        <v>0.5416666666666666</v>
      </c>
      <c r="E22">
        <v>4</v>
      </c>
      <c r="F22">
        <v>0.5416666666666666</v>
      </c>
      <c r="G22">
        <v>4</v>
      </c>
      <c r="H22">
        <v>0.5416666666666666</v>
      </c>
      <c r="I22">
        <v>5</v>
      </c>
      <c r="J22">
        <v>0.5833333333333334</v>
      </c>
      <c r="K22">
        <v>5</v>
      </c>
      <c r="L22">
        <v>0.6319444444444444</v>
      </c>
      <c r="M22">
        <v>5</v>
      </c>
      <c r="N22">
        <v>0.5833333333333334</v>
      </c>
      <c r="O22" t="str">
        <v>短縮</v>
      </c>
      <c r="P22" t="str">
        <v>○</v>
      </c>
      <c r="Q22" t="str">
        <v>【短】修了式④（１～５年：行1）、卒業式練習2⑤（上：行1）、式場・卒業生教室準備作業（5年：欠1）</v>
      </c>
    </row>
    <row r="23">
      <c r="A23">
        <v>20</v>
      </c>
      <c r="B23" t="str">
        <v>金</v>
      </c>
      <c r="Q23" t="str">
        <v>春分の日</v>
      </c>
    </row>
    <row r="24">
      <c r="A24">
        <v>21</v>
      </c>
      <c r="B24" t="str">
        <v>土</v>
      </c>
    </row>
    <row r="25">
      <c r="A25">
        <v>22</v>
      </c>
      <c r="B25" t="str">
        <v>日</v>
      </c>
    </row>
    <row r="26" xml:space="preserve">
      <c r="A26">
        <v>23</v>
      </c>
      <c r="B26" t="str">
        <v>月</v>
      </c>
      <c r="C26">
        <v>1</v>
      </c>
      <c r="D26">
        <v>0.3680555555555556</v>
      </c>
      <c r="E26">
        <v>1</v>
      </c>
      <c r="F26">
        <v>0.3680555555555556</v>
      </c>
      <c r="G26">
        <v>1</v>
      </c>
      <c r="H26">
        <v>0.3680555555555556</v>
      </c>
      <c r="I26">
        <v>4</v>
      </c>
      <c r="J26">
        <v>0.5</v>
      </c>
      <c r="K26">
        <v>4</v>
      </c>
      <c r="L26">
        <v>0.5</v>
      </c>
      <c r="M26">
        <v>3</v>
      </c>
      <c r="N26">
        <v>0.5</v>
      </c>
      <c r="O26" t="str">
        <v>特別</v>
      </c>
      <c r="P26" t="str">
        <v>×</v>
      </c>
      <c r="Q26" t="str" xml:space="preserve">
        <v xml:space="preserve">【特】卒業式(上:行2)、職員会議_x000d_
※月末、学期末、学年末統計</v>
      </c>
    </row>
    <row r="27" xml:space="preserve">
      <c r="A27">
        <v>24</v>
      </c>
      <c r="B27" t="str">
        <v>火</v>
      </c>
      <c r="Q27" t="str" xml:space="preserve">
        <v xml:space="preserve">本一中・郡山三中引き継ぎ_x000d_
※ICT支援員来校PM_x000d_
</v>
      </c>
    </row>
    <row r="28">
      <c r="A28">
        <v>25</v>
      </c>
      <c r="B28" t="str">
        <v>水</v>
      </c>
    </row>
    <row r="29">
      <c r="A29">
        <v>26</v>
      </c>
      <c r="B29" t="str">
        <v>木</v>
      </c>
    </row>
    <row r="30">
      <c r="A30">
        <v>27</v>
      </c>
      <c r="B30" t="str">
        <v>金</v>
      </c>
      <c r="Q30" t="str">
        <v>離任式、教室移動</v>
      </c>
    </row>
    <row r="31">
      <c r="A31">
        <v>28</v>
      </c>
      <c r="B31" t="str">
        <v>土</v>
      </c>
    </row>
    <row r="32">
      <c r="A32">
        <v>29</v>
      </c>
      <c r="B32" t="str">
        <v>日</v>
      </c>
    </row>
    <row r="33">
      <c r="A33">
        <v>30</v>
      </c>
      <c r="B33" t="str">
        <v>月</v>
      </c>
    </row>
    <row r="34">
      <c r="A34">
        <v>31</v>
      </c>
      <c r="B34" t="str">
        <v>火</v>
      </c>
    </row>
    <row r="35" xml:space="preserve">
      <c r="A35" t="str" xml:space="preserve">
        <v xml:space="preserve">留意点_x000d_
及び_x000d_
変更点</v>
      </c>
      <c r="B35" t="str" xml:space="preserve">
        <v xml:space="preserve">○3/4(水)の時数が、「6」になります(下校時刻は変わりません)。_x000d_
○3/17(火)4～6年生の下校時刻を修正しました（短縮のため）。_x000d_
○3/2(月)６年生のみ６校時(学級閉鎖分)。下校時刻も変更しました。_x000d_
○3/4(水)の下校時刻は、14:55で揃えるようにします(上学年が楽器の片付け等があるため)。_x000d_
○交通教育専門員の方への感謝の会を行うため、3/6(金)の1・2年生の下校時刻を変更しました。</v>
      </c>
    </row>
    <row r="36">
      <c r="B36">
        <v>3</v>
      </c>
      <c r="C36" t="str">
        <v>月</v>
      </c>
      <c r="D36" t="str">
        <v>実施時数予定</v>
      </c>
    </row>
    <row r="37">
      <c r="C37" t="str">
        <v>１年</v>
      </c>
      <c r="E37" t="str">
        <v>２年</v>
      </c>
      <c r="G37" t="str">
        <v>３年</v>
      </c>
      <c r="I37" t="str">
        <v>４年</v>
      </c>
      <c r="K37" t="str">
        <v>５年</v>
      </c>
      <c r="M37" t="str">
        <v>６年</v>
      </c>
      <c r="O37" t="str">
        <v>Ｍ時数</v>
      </c>
      <c r="P37" t="str">
        <v>食数</v>
      </c>
    </row>
    <row r="38">
      <c r="A38" t="str">
        <v>実施できる時数</v>
      </c>
      <c r="C38">
        <f>SUM(C4:C34)+O38</f>
        <v>62</v>
      </c>
      <c r="E38">
        <f>SUM(E4:E34)+O38</f>
        <v>64</v>
      </c>
      <c r="G38">
        <f>SUM(G4:G34)+O38</f>
        <v>71</v>
      </c>
      <c r="I38">
        <f>SUM(I4:I34)+O38</f>
        <v>78</v>
      </c>
      <c r="K38">
        <f>SUM(K4:K34)+O38</f>
        <v>78</v>
      </c>
      <c r="M38">
        <f>SUM(M4:M34)+O38</f>
        <v>78</v>
      </c>
      <c r="P38">
        <f>COUNTIF(P4:P34,"○")</f>
        <v>14</v>
      </c>
    </row>
    <row r="39">
      <c r="A39" t="str">
        <v>計画された時数</v>
      </c>
      <c r="C39">
        <v>60</v>
      </c>
      <c r="E39">
        <v>62</v>
      </c>
      <c r="G39">
        <v>69</v>
      </c>
      <c r="I39">
        <v>76</v>
      </c>
      <c r="K39">
        <v>75</v>
      </c>
      <c r="M39">
        <v>75</v>
      </c>
    </row>
    <row r="40">
      <c r="A40" t="str">
        <v>3月余剰時数</v>
      </c>
      <c r="C40">
        <f>C38-C39</f>
        <v>2</v>
      </c>
      <c r="E40">
        <f>E38-E39</f>
        <v>2</v>
      </c>
      <c r="G40">
        <f>G38-G39</f>
        <v>2</v>
      </c>
      <c r="I40">
        <f>I38-I39</f>
        <v>2</v>
      </c>
      <c r="K40">
        <f>K38-K39</f>
        <v>3</v>
      </c>
      <c r="M40">
        <f>M38-M39</f>
        <v>3</v>
      </c>
    </row>
    <row r="41">
      <c r="Q41">
        <v>3</v>
      </c>
    </row>
  </sheetData>
  <mergeCells count="29">
    <mergeCell ref="A2:D2"/>
    <mergeCell ref="C3:D3"/>
    <mergeCell ref="E3:F3"/>
    <mergeCell ref="G3:H3"/>
    <mergeCell ref="I3:J3"/>
    <mergeCell ref="M3:N3"/>
    <mergeCell ref="B35:Q35"/>
    <mergeCell ref="A38:B38"/>
    <mergeCell ref="C38:D38"/>
    <mergeCell ref="E38:F38"/>
    <mergeCell ref="G38:H38"/>
    <mergeCell ref="I38:J38"/>
    <mergeCell ref="K38:L38"/>
    <mergeCell ref="M38:N38"/>
    <mergeCell ref="K3:L3"/>
    <mergeCell ref="M39:N39"/>
    <mergeCell ref="A40:B40"/>
    <mergeCell ref="C40:D40"/>
    <mergeCell ref="E40:F40"/>
    <mergeCell ref="G40:H40"/>
    <mergeCell ref="I40:J40"/>
    <mergeCell ref="K40:L40"/>
    <mergeCell ref="M40:N40"/>
    <mergeCell ref="A39:B39"/>
    <mergeCell ref="C39:D39"/>
    <mergeCell ref="E39:F39"/>
    <mergeCell ref="G39:H39"/>
    <mergeCell ref="I39:J39"/>
    <mergeCell ref="K39:L39"/>
  </mergeCells>
  <pageMargins left="0.7086614173228347" right="0.4724409448818898" top="0.3937007874015748" bottom="0.4330708661417323" header="0.31496062992125984" footer="0.31496062992125984"/>
  <ignoredErrors>
    <ignoredError numberStoredAsText="1" sqref="A1:Q4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Company/>
  <Manager/>
  <HeadingPairs>
    <vt:vector size="2" baseType="variant">
      <vt:variant>
        <vt:lpstr>Worksheets</vt:lpstr>
      </vt:variant>
      <vt:variant>
        <vt:i4>32</vt:i4>
      </vt:variant>
    </vt:vector>
  </HeadingPairs>
  <TitlesOfParts>
    <vt:vector size="32" baseType="lpstr">
      <vt:lpstr>4月</vt:lpstr>
      <vt:lpstr>4月 (2)</vt:lpstr>
      <vt:lpstr>5月</vt:lpstr>
      <vt:lpstr>5月 (2)</vt:lpstr>
      <vt:lpstr>5月 (3)</vt:lpstr>
      <vt:lpstr>6月</vt:lpstr>
      <vt:lpstr>6月 (2)</vt:lpstr>
      <vt:lpstr>6月 (3)</vt:lpstr>
      <vt:lpstr>6月 (4)</vt:lpstr>
      <vt:lpstr>7月</vt:lpstr>
      <vt:lpstr>7月 (2)</vt:lpstr>
      <vt:lpstr>8月</vt:lpstr>
      <vt:lpstr>8月 (2)</vt:lpstr>
      <vt:lpstr>9月</vt:lpstr>
      <vt:lpstr>9月 (2)</vt:lpstr>
      <vt:lpstr>9月 (3)</vt:lpstr>
      <vt:lpstr>10月</vt:lpstr>
      <vt:lpstr>10月 (2)</vt:lpstr>
      <vt:lpstr>11月</vt:lpstr>
      <vt:lpstr>11月 (2)</vt:lpstr>
      <vt:lpstr>11月 (3)</vt:lpstr>
      <vt:lpstr>12月</vt:lpstr>
      <vt:lpstr>12月(2)</vt:lpstr>
      <vt:lpstr>12月(3)</vt:lpstr>
      <vt:lpstr>1月</vt:lpstr>
      <vt:lpstr>1月 (2)</vt:lpstr>
      <vt:lpstr>1月 (3)</vt:lpstr>
      <vt:lpstr>1月 (4)</vt:lpstr>
      <vt:lpstr>2月</vt:lpstr>
      <vt:lpstr>2月 (2)</vt:lpstr>
      <vt:lpstr>3月</vt:lpstr>
      <vt:lpstr>3月 (2)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